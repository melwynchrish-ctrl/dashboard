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Calculations" sheetId="3" state="visible" r:id="rId5"/>
    <sheet name="PivotData" sheetId="4" state="visible" r:id="rId6"/>
  </sheets>
  <definedNames>
    <definedName function="false" hidden="false" name="PendingVisits_KPI" vbProcedure="false">PivotData!$B$43</definedName>
    <definedName function="false" hidden="false" name="SelectedEmployee" vbProcedure="false">Dashboard!$A$6</definedName>
    <definedName function="false" hidden="false" name="SuccessfulVisits_KPI" vbProcedure="false">PivotData!$B$42</definedName>
    <definedName function="false" hidden="false" name="TotalEmployees_KPI" vbProcedure="false">PivotData!$B$45</definedName>
    <definedName function="false" hidden="false" name="TotalHours_KPI" vbProcedure="false">PivotData!$B$47</definedName>
    <definedName function="false" hidden="false" name="TotalVisits_KPI" vbProcedure="false">PivotData!$B$41</definedName>
    <definedName function="false" hidden="false" name="TotalWorkingDays_KPI" vbProcedure="false">PivotData!$B$46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<sst xmlns="http://schemas.openxmlformats.org/spreadsheetml/2006/main" count="2273" uniqueCount="104">
  <si>
    <t xml:space="preserve">EMPLOYEE MARKETING VISIT DASHBOARD</t>
  </si>
  <si>
    <t xml:space="preserve">Select Employee ▼</t>
  </si>
  <si>
    <t xml:space="preserve">Arun</t>
  </si>
  <si>
    <t xml:space="preserve">Total Visits</t>
  </si>
  <si>
    <t xml:space="preserve">Successful Visits</t>
  </si>
  <si>
    <t xml:space="preserve">Pending Visits</t>
  </si>
  <si>
    <t xml:space="preserve">Total Employees</t>
  </si>
  <si>
    <t xml:space="preserve">Total Working Days</t>
  </si>
  <si>
    <t xml:space="preserve">Total Time Spent (Hrs)</t>
  </si>
  <si>
    <t xml:space="preserve">Avg Time / Visit (min)</t>
  </si>
  <si>
    <t xml:space="preserve">Avg Visits / Day</t>
  </si>
  <si>
    <t xml:space="preserve">Avg Visits / Employee</t>
  </si>
  <si>
    <t xml:space="preserve">Unique Outlets Visited</t>
  </si>
  <si>
    <t xml:space="preserve">PERFORMANCE &amp; TREND CHARTS</t>
  </si>
  <si>
    <t xml:space="preserve">EMPLOYEE PERFORMANCE TABLE</t>
  </si>
  <si>
    <t xml:space="preserve">Employee</t>
  </si>
  <si>
    <t xml:space="preserve">Working Days</t>
  </si>
  <si>
    <t xml:space="preserve">Avg Visits/Day</t>
  </si>
  <si>
    <t xml:space="preserve">Total Time (Hrs)</t>
  </si>
  <si>
    <t xml:space="preserve">Avg Time/Visit</t>
  </si>
  <si>
    <t xml:space="preserve">Success Rate</t>
  </si>
  <si>
    <t xml:space="preserve">Rank</t>
  </si>
  <si>
    <t xml:space="preserve">OUTLET ANALYSIS TABLE</t>
  </si>
  <si>
    <t xml:space="preserve">Outlet Name</t>
  </si>
  <si>
    <t xml:space="preserve">Account Type</t>
  </si>
  <si>
    <t xml:space="preserve">Location</t>
  </si>
  <si>
    <t xml:space="preserve">No. of Visits</t>
  </si>
  <si>
    <t xml:space="preserve">Total Time (mins)</t>
  </si>
  <si>
    <t xml:space="preserve">Avg Time (mins)</t>
  </si>
  <si>
    <t xml:space="preserve">Last Visit Date</t>
  </si>
  <si>
    <t xml:space="preserve">Top Employee</t>
  </si>
  <si>
    <t xml:space="preserve">MONTHLY SUMMARY</t>
  </si>
  <si>
    <t xml:space="preserve">Month</t>
  </si>
  <si>
    <t xml:space="preserve">Successful</t>
  </si>
  <si>
    <t xml:space="preserve">Pending</t>
  </si>
  <si>
    <t xml:space="preserve">Total Hours</t>
  </si>
  <si>
    <t xml:space="preserve">Avg Hours/Day</t>
  </si>
  <si>
    <t xml:space="preserve">EMPLOYEE DRILL-DOWN (based on Selected Employee above)</t>
  </si>
  <si>
    <t xml:space="preserve">Top Outlets (Selected Employee)</t>
  </si>
  <si>
    <t xml:space="preserve">Account Type Mix (Selected Employee)</t>
  </si>
  <si>
    <t xml:space="preserve">Outlet Coverage</t>
  </si>
  <si>
    <t xml:space="preserve">Date</t>
  </si>
  <si>
    <t xml:space="preserve">UniqueKey</t>
  </si>
  <si>
    <t xml:space="preserve">Start Time</t>
  </si>
  <si>
    <t xml:space="preserve">End Time</t>
  </si>
  <si>
    <t xml:space="preserve">Time Spent (mins)</t>
  </si>
  <si>
    <t xml:space="preserve">Visit Type</t>
  </si>
  <si>
    <t xml:space="preserve">Status</t>
  </si>
  <si>
    <t xml:space="preserve">MonthKey</t>
  </si>
  <si>
    <t xml:space="preserve">A456</t>
  </si>
  <si>
    <t xml:space="preserve">Distributor</t>
  </si>
  <si>
    <t xml:space="preserve">ABC Agencies</t>
  </si>
  <si>
    <t xml:space="preserve">Coimbatore</t>
  </si>
  <si>
    <t xml:space="preserve">Follow-up</t>
  </si>
  <si>
    <t xml:space="preserve">Completed</t>
  </si>
  <si>
    <t xml:space="preserve">Kiran</t>
  </si>
  <si>
    <t xml:space="preserve">A457</t>
  </si>
  <si>
    <t xml:space="preserve">Prime Traders</t>
  </si>
  <si>
    <t xml:space="preserve">Chennai</t>
  </si>
  <si>
    <t xml:space="preserve">Demo</t>
  </si>
  <si>
    <t xml:space="preserve">OEM</t>
  </si>
  <si>
    <t xml:space="preserve">Collection</t>
  </si>
  <si>
    <t xml:space="preserve">Dealer</t>
  </si>
  <si>
    <t xml:space="preserve">Priya</t>
  </si>
  <si>
    <t xml:space="preserve">A458</t>
  </si>
  <si>
    <t xml:space="preserve">XYZ Motors</t>
  </si>
  <si>
    <t xml:space="preserve">A459</t>
  </si>
  <si>
    <t xml:space="preserve">Metro Site</t>
  </si>
  <si>
    <t xml:space="preserve">John</t>
  </si>
  <si>
    <t xml:space="preserve">Sales</t>
  </si>
  <si>
    <t xml:space="preserve">Salem</t>
  </si>
  <si>
    <t xml:space="preserve">A460</t>
  </si>
  <si>
    <t xml:space="preserve">Elite Dealers</t>
  </si>
  <si>
    <t xml:space="preserve">David</t>
  </si>
  <si>
    <t xml:space="preserve">Project Site</t>
  </si>
  <si>
    <t xml:space="preserve">Employee Master (distinct names)</t>
  </si>
  <si>
    <t xml:space="preserve">Account Type Master</t>
  </si>
  <si>
    <t xml:space="preserve">Status Master</t>
  </si>
  <si>
    <t xml:space="preserve">Location Master</t>
  </si>
  <si>
    <t xml:space="preserve">Visit Type Master</t>
  </si>
  <si>
    <t xml:space="preserve">Cancelled</t>
  </si>
  <si>
    <t xml:space="preserve">Outlet Master (distinct names)</t>
  </si>
  <si>
    <t xml:space="preserve">Visits &amp; Time by Employee</t>
  </si>
  <si>
    <t xml:space="preserve">Visits &amp; Time by Account Type</t>
  </si>
  <si>
    <t xml:space="preserve">Visits by Status</t>
  </si>
  <si>
    <t xml:space="preserve">Visits by Location</t>
  </si>
  <si>
    <t xml:space="preserve">Visit Type Distribution</t>
  </si>
  <si>
    <t xml:space="preserve">Total Time (hrs)</t>
  </si>
  <si>
    <t xml:space="preserve">Visits</t>
  </si>
  <si>
    <t xml:space="preserve">Time Spent (hrs)</t>
  </si>
  <si>
    <t xml:space="preserve">Outlet Analysis</t>
  </si>
  <si>
    <t xml:space="preserve">Top Outlets by Visits</t>
  </si>
  <si>
    <t xml:space="preserve">Daily Visit Trend</t>
  </si>
  <si>
    <t xml:space="preserve">Monthly Summary</t>
  </si>
  <si>
    <t xml:space="preserve">Hours</t>
  </si>
  <si>
    <t xml:space="preserve">Global KPI Values</t>
  </si>
  <si>
    <t xml:space="preserve">Cancelled Visits</t>
  </si>
  <si>
    <t xml:space="preserve">Total Time Spent (Hours)</t>
  </si>
  <si>
    <t xml:space="preserve">Average Time per Visit (mins)</t>
  </si>
  <si>
    <t xml:space="preserve">Average Visits per Day</t>
  </si>
  <si>
    <t xml:space="preserve">Average Visits per Employee</t>
  </si>
  <si>
    <t xml:space="preserve">Employee Drill-down (driven by Dashboard selector)</t>
  </si>
  <si>
    <t xml:space="preserve">Visit Trend (Selected Employee)</t>
  </si>
  <si>
    <t xml:space="preserve">Selected Employee: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</si>
</sst>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"/>
    <numFmt numFmtId="167" formatCode="0.00"/>
    <numFmt numFmtId="168" formatCode="0.0%"/>
    <numFmt numFmtId="169" formatCode="General"/>
    <numFmt numFmtId="170" formatCode="dd\-mmm\-yyyy"/>
    <numFmt numFmtId="171" formatCode="mmm\-yyyy"/>
    <numFmt numFmtId="172" formatCode="yyyy\-mm\-dd"/>
    <numFmt numFmtId="173" formatCode="h:mm:ss"/>
    <numFmt numFmtId="174" formatCode="mm/dd/yy"/>
    <numFmt numFmtId="175" formatCode="dd\-m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1F3864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2"/>
      <color rgb="FF1F386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2E74B5"/>
        <bgColor rgb="FF4F81BD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DC3E6"/>
      <rgbColor rgb="FFFF99CC"/>
      <rgbColor rgb="FFB3B3B3"/>
      <rgbColor rgb="FFF8CBAD"/>
      <rgbColor rgb="FF2E74B5"/>
      <rgbColor rgb="FF33CCCC"/>
      <rgbColor rgb="FFA9D18E"/>
      <rgbColor rgb="FFFFCC00"/>
      <rgbColor rgb="FFFF9900"/>
      <rgbColor rgb="FFFF6600"/>
      <rgbColor rgb="FF4F81BD"/>
      <rgbColor rgb="FFA9A9A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Visits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PivotData!B2</c:f>
              <c:strCache>
                <c:ptCount val="1"/>
                <c:pt idx="0">
                  <c:v>Total Visits</c:v>
                </c:pt>
              </c:strCache>
            </c:strRef>
          </c:tx>
          <c:spPr>
            <a:solidFill>
              <a:srgbClr val="2e74b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PivotData!$A$3:$A$7</c:f>
              <c:strCache>
                <c:ptCount val="5"/>
                <c:pt idx="0">
                  <c:v>Arun</c:v>
                </c:pt>
                <c:pt idx="1">
                  <c:v>Kiran</c:v>
                </c:pt>
                <c:pt idx="2">
                  <c:v>Priya</c:v>
                </c:pt>
                <c:pt idx="3">
                  <c:v>John</c:v>
                </c:pt>
                <c:pt idx="4">
                  <c:v>David</c:v>
                </c:pt>
              </c:strCache>
            </c:strRef>
          </c:cat>
          <c:val>
            <c:numRef>
              <c:f>PivotData!$B$3:$B$7</c:f>
              <c:numCache>
                <c:formatCode>General</c:formatCode>
                <c:ptCount val="5"/>
                <c:pt idx="0">
                  <c:v>60</c:v>
                </c:pt>
                <c:pt idx="1">
                  <c:v>66</c:v>
                </c:pt>
                <c:pt idx="2">
                  <c:v>59</c:v>
                </c:pt>
                <c:pt idx="3">
                  <c:v>61</c:v>
                </c:pt>
                <c:pt idx="4">
                  <c:v>54</c:v>
                </c:pt>
              </c:numCache>
            </c:numRef>
          </c:val>
        </c:ser>
        <c:gapWidth val="150"/>
        <c:overlap val="0"/>
        <c:axId val="16755312"/>
        <c:axId val="73695187"/>
      </c:barChart>
      <c:catAx>
        <c:axId val="16755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5187"/>
        <c:crosses val="autoZero"/>
        <c:auto val="1"/>
        <c:lblAlgn val="ctr"/>
        <c:lblOffset val="100"/>
        <c:noMultiLvlLbl val="0"/>
      </c:catAx>
      <c:valAx>
        <c:axId val="736951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55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Visits by Account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PivotData!L2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PivotData!$K$3:$K$6</c:f>
              <c:strCache>
                <c:ptCount val="4"/>
                <c:pt idx="0">
                  <c:v>Distributor</c:v>
                </c:pt>
                <c:pt idx="1">
                  <c:v>OEM</c:v>
                </c:pt>
                <c:pt idx="2">
                  <c:v>Dealer</c:v>
                </c:pt>
                <c:pt idx="3">
                  <c:v>Project Site</c:v>
                </c:pt>
              </c:strCache>
            </c:strRef>
          </c:cat>
          <c:val>
            <c:numRef>
              <c:f>PivotData!$L$3:$L$6</c:f>
              <c:numCache>
                <c:formatCode>General</c:formatCode>
                <c:ptCount val="4"/>
                <c:pt idx="0">
                  <c:v>81</c:v>
                </c:pt>
                <c:pt idx="1">
                  <c:v>75</c:v>
                </c:pt>
                <c:pt idx="2">
                  <c:v>77</c:v>
                </c:pt>
                <c:pt idx="3">
                  <c:v>67</c:v>
                </c:pt>
              </c:numCache>
            </c:numRef>
          </c:val>
        </c:ser>
        <c:gapWidth val="150"/>
        <c:overlap val="0"/>
        <c:axId val="40746780"/>
        <c:axId val="66706332"/>
      </c:barChart>
      <c:catAx>
        <c:axId val="407467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06332"/>
        <c:crosses val="autoZero"/>
        <c:auto val="1"/>
        <c:lblAlgn val="ctr"/>
        <c:lblOffset val="100"/>
        <c:noMultiLvlLbl val="0"/>
      </c:catAx>
      <c:valAx>
        <c:axId val="667063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467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PivotData!Q2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74b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dc3e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PivotData!$P$3:$P$5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PivotData!$Q$3:$Q$5</c:f>
              <c:numCache>
                <c:formatCode>General</c:formatCode>
                <c:ptCount val="3"/>
                <c:pt idx="0">
                  <c:v>300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Spent by Employee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PivotData!F2</c:f>
              <c:strCache>
                <c:ptCount val="1"/>
                <c:pt idx="0">
                  <c:v>Total Time (hrs)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PivotData!$A$3:$A$7</c:f>
              <c:strCache>
                <c:ptCount val="5"/>
                <c:pt idx="0">
                  <c:v>Arun</c:v>
                </c:pt>
                <c:pt idx="1">
                  <c:v>Kiran</c:v>
                </c:pt>
                <c:pt idx="2">
                  <c:v>Priya</c:v>
                </c:pt>
                <c:pt idx="3">
                  <c:v>John</c:v>
                </c:pt>
                <c:pt idx="4">
                  <c:v>David</c:v>
                </c:pt>
              </c:strCache>
            </c:strRef>
          </c:cat>
          <c:val>
            <c:numRef>
              <c:f>PivotData!$F$3:$F$7</c:f>
              <c:numCache>
                <c:formatCode>0.0</c:formatCode>
                <c:ptCount val="5"/>
                <c:pt idx="0">
                  <c:v>72.8833333333333</c:v>
                </c:pt>
                <c:pt idx="1">
                  <c:v>79.4666666666667</c:v>
                </c:pt>
                <c:pt idx="2">
                  <c:v>58.15</c:v>
                </c:pt>
                <c:pt idx="3">
                  <c:v>73.05</c:v>
                </c:pt>
                <c:pt idx="4">
                  <c:v>60.85</c:v>
                </c:pt>
              </c:numCache>
            </c:numRef>
          </c:val>
        </c:ser>
        <c:gapWidth val="150"/>
        <c:overlap val="0"/>
        <c:axId val="19002120"/>
        <c:axId val="76943588"/>
      </c:barChart>
      <c:catAx>
        <c:axId val="19002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43588"/>
        <c:crosses val="autoZero"/>
        <c:auto val="1"/>
        <c:lblAlgn val="ctr"/>
        <c:lblOffset val="100"/>
        <c:noMultiLvlLbl val="0"/>
      </c:catAx>
      <c:valAx>
        <c:axId val="769435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02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Visit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PivotData!B21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2e74b5"/>
            </a:solidFill>
            <a:ln w="20160">
              <a:solidFill>
                <a:srgbClr val="2e74b5"/>
              </a:solidFill>
              <a:round/>
            </a:ln>
          </c:spPr>
          <c:marker>
            <c:symbol val="circle"/>
            <c:size val="4"/>
            <c:spPr>
              <a:solidFill>
                <a:srgbClr val="2e74b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PivotData!$A$22:$A$52</c:f>
              <c:strCache>
                <c:ptCount val="31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05-Jun</c:v>
                </c:pt>
                <c:pt idx="5">
                  <c:v>06-Jun</c:v>
                </c:pt>
                <c:pt idx="6">
                  <c:v>07-Jun</c:v>
                </c:pt>
                <c:pt idx="7">
                  <c:v>08-Jun</c:v>
                </c:pt>
                <c:pt idx="8">
                  <c:v>09-Jun</c:v>
                </c:pt>
                <c:pt idx="9">
                  <c:v>10-Jun</c:v>
                </c:pt>
                <c:pt idx="10">
                  <c:v>11-Jun</c:v>
                </c:pt>
                <c:pt idx="11">
                  <c:v>12-Jun</c:v>
                </c:pt>
                <c:pt idx="12">
                  <c:v>13-Jun</c:v>
                </c:pt>
                <c:pt idx="13">
                  <c:v>14-Jun</c:v>
                </c:pt>
                <c:pt idx="14">
                  <c:v>15-Jun</c:v>
                </c:pt>
                <c:pt idx="15">
                  <c:v>16-Jun</c:v>
                </c:pt>
                <c:pt idx="16">
                  <c:v>17-Jun</c:v>
                </c:pt>
                <c:pt idx="17">
                  <c:v>18-Jun</c:v>
                </c:pt>
                <c:pt idx="18">
                  <c:v>Global KPI Values</c:v>
                </c:pt>
                <c:pt idx="19">
                  <c:v>Total Visits</c:v>
                </c:pt>
                <c:pt idx="20">
                  <c:v>Successful Visits</c:v>
                </c:pt>
                <c:pt idx="21">
                  <c:v>Pending Visits</c:v>
                </c:pt>
                <c:pt idx="22">
                  <c:v>Cancelled Visits</c:v>
                </c:pt>
                <c:pt idx="23">
                  <c:v>Total Employees</c:v>
                </c:pt>
                <c:pt idx="24">
                  <c:v>Total Working Days</c:v>
                </c:pt>
                <c:pt idx="25">
                  <c:v>Total Time Spent (Hours)</c:v>
                </c:pt>
                <c:pt idx="26">
                  <c:v>Average Time per Visit (mins)</c:v>
                </c:pt>
                <c:pt idx="27">
                  <c:v>Average Visits per Day</c:v>
                </c:pt>
                <c:pt idx="28">
                  <c:v>Average Visits per Employee</c:v>
                </c:pt>
                <c:pt idx="29">
                  <c:v>Unique Outlets Visited</c:v>
                </c:pt>
                <c:pt idx="30">
                  <c:v/>
                </c:pt>
              </c:strCache>
            </c:strRef>
          </c:cat>
          <c:val>
            <c:numRef>
              <c:f>PivotData!$B$22:$B$52</c:f>
              <c:numCache>
                <c:formatCode>General</c:formatCode>
                <c:ptCount val="3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300</c:v>
                </c:pt>
                <c:pt idx="20">
                  <c:v>300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30</c:v>
                </c:pt>
                <c:pt idx="25">
                  <c:v>344.4</c:v>
                </c:pt>
                <c:pt idx="26">
                  <c:v>68.88</c:v>
                </c:pt>
                <c:pt idx="27">
                  <c:v>10</c:v>
                </c:pt>
                <c:pt idx="28">
                  <c:v>60</c:v>
                </c:pt>
                <c:pt idx="29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4661716"/>
        <c:axId val="97052636"/>
      </c:lineChart>
      <c:catAx>
        <c:axId val="2466171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52636"/>
        <c:crosses val="autoZero"/>
        <c:auto val="1"/>
        <c:lblAlgn val="ctr"/>
        <c:lblOffset val="100"/>
        <c:noMultiLvlLbl val="0"/>
      </c:catAx>
      <c:valAx>
        <c:axId val="970526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61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Visit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PivotData!G21</c:f>
              <c:strCache>
                <c:ptCount val="1"/>
                <c:pt idx="0">
                  <c:v>Total Visits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PivotData!$E$22:$E$33</c:f>
              <c:strCache>
                <c:ptCount val="12"/>
                <c:pt idx="0">
                  <c:v>Jun-2026</c:v>
                </c:pt>
                <c:pt idx="1">
                  <c:v>Jul-2026</c:v>
                </c:pt>
                <c:pt idx="2">
                  <c:v>Aug-2026</c:v>
                </c:pt>
                <c:pt idx="3">
                  <c:v>Sep-2026</c:v>
                </c:pt>
                <c:pt idx="4">
                  <c:v>Oct-2026</c:v>
                </c:pt>
                <c:pt idx="5">
                  <c:v>Nov-2026</c:v>
                </c:pt>
                <c:pt idx="6">
                  <c:v>Dec-2026</c:v>
                </c:pt>
                <c:pt idx="7">
                  <c:v>Jan-2027</c:v>
                </c:pt>
                <c:pt idx="8">
                  <c:v>Feb-2027</c:v>
                </c:pt>
                <c:pt idx="9">
                  <c:v>Mar-2027</c:v>
                </c:pt>
                <c:pt idx="10">
                  <c:v>Apr-2027</c:v>
                </c:pt>
                <c:pt idx="11">
                  <c:v>May-2027</c:v>
                </c:pt>
              </c:strCache>
            </c:strRef>
          </c:cat>
          <c:val>
            <c:numRef>
              <c:f>PivotData!$G$22:$G$33</c:f>
              <c:numCache>
                <c:formatCode>General</c:formatCode>
                <c:ptCount val="12"/>
                <c:pt idx="0">
                  <c:v>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1533017"/>
        <c:axId val="60636456"/>
      </c:barChart>
      <c:catAx>
        <c:axId val="51533017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36456"/>
        <c:crosses val="autoZero"/>
        <c:auto val="1"/>
        <c:lblAlgn val="ctr"/>
        <c:lblOffset val="100"/>
        <c:noMultiLvlLbl val="0"/>
      </c:catAx>
      <c:valAx>
        <c:axId val="606364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33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Outlets by Visits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PivotData!K11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a9d18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PivotData!$J$12:$J$16</c:f>
              <c:strCache>
                <c:ptCount val="5"/>
                <c:pt idx="0">
                  <c:v>ABC Agencies</c:v>
                </c:pt>
                <c:pt idx="1">
                  <c:v>Prime Traders</c:v>
                </c:pt>
                <c:pt idx="2">
                  <c:v>Elite Dealers</c:v>
                </c:pt>
                <c:pt idx="3">
                  <c:v>XYZ Motors</c:v>
                </c:pt>
                <c:pt idx="4">
                  <c:v>Metro Site</c:v>
                </c:pt>
              </c:strCache>
            </c:strRef>
          </c:cat>
          <c:val>
            <c:numRef>
              <c:f>PivotData!$K$12:$K$16</c:f>
              <c:numCache>
                <c:formatCode>General</c:formatCode>
                <c:ptCount val="5"/>
                <c:pt idx="0">
                  <c:v>69</c:v>
                </c:pt>
                <c:pt idx="1">
                  <c:v>63</c:v>
                </c:pt>
                <c:pt idx="2">
                  <c:v>59</c:v>
                </c:pt>
                <c:pt idx="3">
                  <c:v>56</c:v>
                </c:pt>
                <c:pt idx="4">
                  <c:v>53</c:v>
                </c:pt>
              </c:numCache>
            </c:numRef>
          </c:val>
        </c:ser>
        <c:gapWidth val="150"/>
        <c:overlap val="0"/>
        <c:axId val="93057160"/>
        <c:axId val="4942761"/>
      </c:barChart>
      <c:catAx>
        <c:axId val="93057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2761"/>
        <c:crosses val="autoZero"/>
        <c:auto val="1"/>
        <c:lblAlgn val="ctr"/>
        <c:lblOffset val="100"/>
        <c:noMultiLvlLbl val="0"/>
      </c:catAx>
      <c:valAx>
        <c:axId val="49427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57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Spent by Account Type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PivotData!N2</c:f>
              <c:strCache>
                <c:ptCount val="1"/>
                <c:pt idx="0">
                  <c:v>Time Spent (hrs)</c:v>
                </c:pt>
              </c:strCache>
            </c:strRef>
          </c:tx>
          <c:spPr>
            <a:solidFill>
              <a:srgbClr val="f8cba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PivotData!$K$3:$K$6</c:f>
              <c:strCache>
                <c:ptCount val="4"/>
                <c:pt idx="0">
                  <c:v>Distributor</c:v>
                </c:pt>
                <c:pt idx="1">
                  <c:v>OEM</c:v>
                </c:pt>
                <c:pt idx="2">
                  <c:v>Dealer</c:v>
                </c:pt>
                <c:pt idx="3">
                  <c:v>Project Site</c:v>
                </c:pt>
              </c:strCache>
            </c:strRef>
          </c:cat>
          <c:val>
            <c:numRef>
              <c:f>PivotData!$N$3:$N$6</c:f>
              <c:numCache>
                <c:formatCode>General</c:formatCode>
                <c:ptCount val="4"/>
                <c:pt idx="0">
                  <c:v>96.5166666666667</c:v>
                </c:pt>
                <c:pt idx="1">
                  <c:v>85.2666666666667</c:v>
                </c:pt>
                <c:pt idx="2">
                  <c:v>85.0833333333333</c:v>
                </c:pt>
                <c:pt idx="3">
                  <c:v>77.5333333333333</c:v>
                </c:pt>
              </c:numCache>
            </c:numRef>
          </c:val>
        </c:ser>
        <c:gapWidth val="150"/>
        <c:overlap val="0"/>
        <c:axId val="294927"/>
        <c:axId val="12757607"/>
      </c:barChart>
      <c:catAx>
        <c:axId val="2949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7607"/>
        <c:crosses val="autoZero"/>
        <c:auto val="1"/>
        <c:lblAlgn val="ctr"/>
        <c:lblOffset val="100"/>
        <c:noMultiLvlLbl val="0"/>
      </c:catAx>
      <c:valAx>
        <c:axId val="127576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PivotData!W2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74b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dc3e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dd7e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PivotData!$V$3:$V$6</c:f>
              <c:strCache>
                <c:ptCount val="4"/>
                <c:pt idx="0">
                  <c:v>Follow-up</c:v>
                </c:pt>
                <c:pt idx="1">
                  <c:v>Demo</c:v>
                </c:pt>
                <c:pt idx="2">
                  <c:v>Collection</c:v>
                </c:pt>
                <c:pt idx="3">
                  <c:v>Sales</c:v>
                </c:pt>
              </c:strCache>
            </c:strRef>
          </c:cat>
          <c:val>
            <c:numRef>
              <c:f>PivotData!$W$3:$W$6</c:f>
              <c:numCache>
                <c:formatCode>General</c:formatCode>
                <c:ptCount val="4"/>
                <c:pt idx="0">
                  <c:v>77</c:v>
                </c:pt>
                <c:pt idx="1">
                  <c:v>68</c:v>
                </c:pt>
                <c:pt idx="2">
                  <c:v>75</c:v>
                </c:pt>
                <c:pt idx="3">
                  <c:v>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Location-wise Visits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PivotData!T2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PivotData!$S$3:$S$5</c:f>
              <c:strCache>
                <c:ptCount val="3"/>
                <c:pt idx="0">
                  <c:v>Coimbatore</c:v>
                </c:pt>
                <c:pt idx="1">
                  <c:v>Chennai</c:v>
                </c:pt>
                <c:pt idx="2">
                  <c:v>Salem</c:v>
                </c:pt>
              </c:strCache>
            </c:strRef>
          </c:cat>
          <c:val>
            <c:numRef>
              <c:f>PivotData!$T$3:$T$5</c:f>
              <c:numCache>
                <c:formatCode>General</c:formatCode>
                <c:ptCount val="3"/>
                <c:pt idx="0">
                  <c:v>95</c:v>
                </c:pt>
                <c:pt idx="1">
                  <c:v>99</c:v>
                </c:pt>
                <c:pt idx="2">
                  <c:v>106</c:v>
                </c:pt>
              </c:numCache>
            </c:numRef>
          </c:val>
        </c:ser>
        <c:gapWidth val="150"/>
        <c:overlap val="0"/>
        <c:axId val="83384498"/>
        <c:axId val="76067206"/>
      </c:barChart>
      <c:catAx>
        <c:axId val="833844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67206"/>
        <c:crosses val="autoZero"/>
        <c:auto val="1"/>
        <c:lblAlgn val="ctr"/>
        <c:lblOffset val="100"/>
        <c:noMultiLvlLbl val="0"/>
      </c:catAx>
      <c:valAx>
        <c:axId val="760672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84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190440</xdr:rowOff>
    </xdr:from>
    <xdr:to>
      <xdr:col>8</xdr:col>
      <xdr:colOff>393840</xdr:colOff>
      <xdr:row>32</xdr:row>
      <xdr:rowOff>186120</xdr:rowOff>
    </xdr:to>
    <xdr:graphicFrame>
      <xdr:nvGraphicFramePr>
        <xdr:cNvPr id="0" name="Chart 1"/>
        <xdr:cNvGraphicFramePr/>
      </xdr:nvGraphicFramePr>
      <xdr:xfrm>
        <a:off x="0" y="3505320"/>
        <a:ext cx="5763240" cy="305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16</xdr:row>
      <xdr:rowOff>190440</xdr:rowOff>
    </xdr:from>
    <xdr:to>
      <xdr:col>16</xdr:col>
      <xdr:colOff>393480</xdr:colOff>
      <xdr:row>32</xdr:row>
      <xdr:rowOff>186120</xdr:rowOff>
    </xdr:to>
    <xdr:graphicFrame>
      <xdr:nvGraphicFramePr>
        <xdr:cNvPr id="1" name="Chart 2"/>
        <xdr:cNvGraphicFramePr/>
      </xdr:nvGraphicFramePr>
      <xdr:xfrm>
        <a:off x="5369400" y="3505320"/>
        <a:ext cx="5763240" cy="305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16</xdr:row>
      <xdr:rowOff>190440</xdr:rowOff>
    </xdr:from>
    <xdr:to>
      <xdr:col>24</xdr:col>
      <xdr:colOff>393840</xdr:colOff>
      <xdr:row>32</xdr:row>
      <xdr:rowOff>186120</xdr:rowOff>
    </xdr:to>
    <xdr:graphicFrame>
      <xdr:nvGraphicFramePr>
        <xdr:cNvPr id="2" name="Chart 3"/>
        <xdr:cNvGraphicFramePr/>
      </xdr:nvGraphicFramePr>
      <xdr:xfrm>
        <a:off x="10739160" y="3505320"/>
        <a:ext cx="5763240" cy="305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31</xdr:row>
      <xdr:rowOff>175680</xdr:rowOff>
    </xdr:from>
    <xdr:to>
      <xdr:col>8</xdr:col>
      <xdr:colOff>393840</xdr:colOff>
      <xdr:row>47</xdr:row>
      <xdr:rowOff>186120</xdr:rowOff>
    </xdr:to>
    <xdr:graphicFrame>
      <xdr:nvGraphicFramePr>
        <xdr:cNvPr id="3" name="Chart 4"/>
        <xdr:cNvGraphicFramePr/>
      </xdr:nvGraphicFramePr>
      <xdr:xfrm>
        <a:off x="0" y="6357240"/>
        <a:ext cx="576324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31</xdr:row>
      <xdr:rowOff>175680</xdr:rowOff>
    </xdr:from>
    <xdr:to>
      <xdr:col>16</xdr:col>
      <xdr:colOff>393480</xdr:colOff>
      <xdr:row>47</xdr:row>
      <xdr:rowOff>186120</xdr:rowOff>
    </xdr:to>
    <xdr:graphicFrame>
      <xdr:nvGraphicFramePr>
        <xdr:cNvPr id="4" name="Chart 5"/>
        <xdr:cNvGraphicFramePr/>
      </xdr:nvGraphicFramePr>
      <xdr:xfrm>
        <a:off x="5369400" y="6357240"/>
        <a:ext cx="576324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31</xdr:row>
      <xdr:rowOff>175680</xdr:rowOff>
    </xdr:from>
    <xdr:to>
      <xdr:col>24</xdr:col>
      <xdr:colOff>393840</xdr:colOff>
      <xdr:row>47</xdr:row>
      <xdr:rowOff>186120</xdr:rowOff>
    </xdr:to>
    <xdr:graphicFrame>
      <xdr:nvGraphicFramePr>
        <xdr:cNvPr id="5" name="Chart 6"/>
        <xdr:cNvGraphicFramePr/>
      </xdr:nvGraphicFramePr>
      <xdr:xfrm>
        <a:off x="10739160" y="6357240"/>
        <a:ext cx="576324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46</xdr:row>
      <xdr:rowOff>176040</xdr:rowOff>
    </xdr:from>
    <xdr:to>
      <xdr:col>8</xdr:col>
      <xdr:colOff>393840</xdr:colOff>
      <xdr:row>62</xdr:row>
      <xdr:rowOff>186120</xdr:rowOff>
    </xdr:to>
    <xdr:graphicFrame>
      <xdr:nvGraphicFramePr>
        <xdr:cNvPr id="6" name="Chart 7"/>
        <xdr:cNvGraphicFramePr/>
      </xdr:nvGraphicFramePr>
      <xdr:xfrm>
        <a:off x="0" y="9215280"/>
        <a:ext cx="576324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46</xdr:row>
      <xdr:rowOff>176040</xdr:rowOff>
    </xdr:from>
    <xdr:to>
      <xdr:col>16</xdr:col>
      <xdr:colOff>393480</xdr:colOff>
      <xdr:row>62</xdr:row>
      <xdr:rowOff>186120</xdr:rowOff>
    </xdr:to>
    <xdr:graphicFrame>
      <xdr:nvGraphicFramePr>
        <xdr:cNvPr id="7" name="Chart 8"/>
        <xdr:cNvGraphicFramePr/>
      </xdr:nvGraphicFramePr>
      <xdr:xfrm>
        <a:off x="5369400" y="9215280"/>
        <a:ext cx="576324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0</xdr:colOff>
      <xdr:row>46</xdr:row>
      <xdr:rowOff>176040</xdr:rowOff>
    </xdr:from>
    <xdr:to>
      <xdr:col>24</xdr:col>
      <xdr:colOff>393840</xdr:colOff>
      <xdr:row>62</xdr:row>
      <xdr:rowOff>186120</xdr:rowOff>
    </xdr:to>
    <xdr:graphicFrame>
      <xdr:nvGraphicFramePr>
        <xdr:cNvPr id="8" name="Chart 9"/>
        <xdr:cNvGraphicFramePr/>
      </xdr:nvGraphicFramePr>
      <xdr:xfrm>
        <a:off x="10739160" y="9215280"/>
        <a:ext cx="576324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61</xdr:row>
      <xdr:rowOff>175680</xdr:rowOff>
    </xdr:from>
    <xdr:to>
      <xdr:col>8</xdr:col>
      <xdr:colOff>393840</xdr:colOff>
      <xdr:row>77</xdr:row>
      <xdr:rowOff>186120</xdr:rowOff>
    </xdr:to>
    <xdr:graphicFrame>
      <xdr:nvGraphicFramePr>
        <xdr:cNvPr id="9" name="Chart 10"/>
        <xdr:cNvGraphicFramePr/>
      </xdr:nvGraphicFramePr>
      <xdr:xfrm>
        <a:off x="0" y="12072240"/>
        <a:ext cx="576324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Table" displayName="RawDataTable" ref="A1:M301" headerRowCount="1" totalsRowCount="0" totalsRowShown="0">
  <autoFilter ref="A1:M301"/>
  <tableColumns count="13">
    <tableColumn id="1" name="Date"/>
    <tableColumn id="2" name="Employee"/>
    <tableColumn id="3" name="UniqueKey"/>
    <tableColumn id="4" name="Account Type"/>
    <tableColumn id="5" name="Outlet Name"/>
    <tableColumn id="6" name="Location"/>
    <tableColumn id="7" name="Start Time"/>
    <tableColumn id="8" name="End Time"/>
    <tableColumn id="9" name="Time Spent (mins)"/>
    <tableColumn id="10" name="Visit Type"/>
    <tableColumn id="11" name="Status"/>
    <tableColumn id="12" name="Month"/>
    <tableColumn id="13" name="Month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11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1" width="9.5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8" hidden="false" customHeight="true" outlineLevel="0" collapsed="false">
      <c r="A4" s="3" t="str">
        <f aca="false">"Period: " &amp; TEXT(MIN(RawDataTable[Date]),"dd-mmm-yyyy") &amp; "  to  " &amp; TEXT(MAX(RawDataTable[Date]),"dd-mmm-yyyy") &amp; "   |   Employee Focus: " &amp; PivotData!$B$56</f>
        <v>Period: 01-Jun-2026  to  30-Jun-2026   |   Employee Focus: Arun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" hidden="false" customHeight="true" outlineLevel="0" collapsed="false">
      <c r="A5" s="4" t="s">
        <v>1</v>
      </c>
      <c r="B5" s="5" t="s">
        <v>2</v>
      </c>
      <c r="C5" s="5"/>
    </row>
    <row r="6" customFormat="false" ht="15.75" hidden="false" customHeight="true" outlineLevel="0" collapsed="false">
      <c r="A6" s="6" t="n">
        <f aca="false">PivotData!B41</f>
        <v>300</v>
      </c>
      <c r="B6" s="6"/>
      <c r="C6" s="6"/>
      <c r="D6" s="6"/>
      <c r="E6" s="6"/>
      <c r="F6" s="6" t="n">
        <f aca="false">PivotData!B42</f>
        <v>300</v>
      </c>
      <c r="G6" s="6"/>
      <c r="H6" s="6"/>
      <c r="I6" s="6"/>
      <c r="J6" s="6"/>
      <c r="K6" s="6" t="n">
        <f aca="false">PivotData!B43</f>
        <v>0</v>
      </c>
      <c r="L6" s="6"/>
      <c r="M6" s="6"/>
      <c r="N6" s="6"/>
      <c r="O6" s="6"/>
      <c r="P6" s="6" t="n">
        <f aca="false">PivotData!B45</f>
        <v>5</v>
      </c>
      <c r="Q6" s="6"/>
      <c r="R6" s="6"/>
      <c r="S6" s="6"/>
      <c r="T6" s="6"/>
      <c r="U6" s="6" t="n">
        <f aca="false">PivotData!B46</f>
        <v>30</v>
      </c>
      <c r="V6" s="6"/>
      <c r="W6" s="6"/>
      <c r="X6" s="6"/>
      <c r="Y6" s="6"/>
    </row>
    <row r="7" customFormat="false" ht="15.7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5.75" hidden="false" customHeight="true" outlineLevel="0" collapsed="false">
      <c r="A9" s="7" t="s">
        <v>3</v>
      </c>
      <c r="B9" s="7"/>
      <c r="C9" s="7"/>
      <c r="D9" s="7"/>
      <c r="E9" s="7"/>
      <c r="F9" s="7" t="s">
        <v>4</v>
      </c>
      <c r="G9" s="7"/>
      <c r="H9" s="7"/>
      <c r="I9" s="7"/>
      <c r="J9" s="7"/>
      <c r="K9" s="7" t="s">
        <v>5</v>
      </c>
      <c r="L9" s="7"/>
      <c r="M9" s="7"/>
      <c r="N9" s="7"/>
      <c r="O9" s="7"/>
      <c r="P9" s="7" t="s">
        <v>6</v>
      </c>
      <c r="Q9" s="7"/>
      <c r="R9" s="7"/>
      <c r="S9" s="7"/>
      <c r="T9" s="7"/>
      <c r="U9" s="7" t="s">
        <v>7</v>
      </c>
      <c r="V9" s="7"/>
      <c r="W9" s="7"/>
      <c r="X9" s="7"/>
      <c r="Y9" s="7"/>
    </row>
    <row r="10" customFormat="false" ht="15.75" hidden="false" customHeight="true" outlineLevel="0" collapsed="false"/>
    <row r="11" customFormat="false" ht="15.75" hidden="false" customHeight="true" outlineLevel="0" collapsed="false">
      <c r="A11" s="8" t="n">
        <f aca="false">PivotData!B47</f>
        <v>344.4</v>
      </c>
      <c r="B11" s="8"/>
      <c r="C11" s="8"/>
      <c r="D11" s="8"/>
      <c r="E11" s="8"/>
      <c r="F11" s="8" t="n">
        <f aca="false">PivotData!B48</f>
        <v>68.88</v>
      </c>
      <c r="G11" s="8"/>
      <c r="H11" s="8"/>
      <c r="I11" s="8"/>
      <c r="J11" s="8"/>
      <c r="K11" s="8" t="n">
        <f aca="false">PivotData!B49</f>
        <v>10</v>
      </c>
      <c r="L11" s="8"/>
      <c r="M11" s="8"/>
      <c r="N11" s="8"/>
      <c r="O11" s="8"/>
      <c r="P11" s="8" t="n">
        <f aca="false">PivotData!B50</f>
        <v>60</v>
      </c>
      <c r="Q11" s="8"/>
      <c r="R11" s="8"/>
      <c r="S11" s="8"/>
      <c r="T11" s="8"/>
      <c r="U11" s="6" t="n">
        <f aca="false">PivotData!B51</f>
        <v>5</v>
      </c>
      <c r="V11" s="6"/>
      <c r="W11" s="6"/>
      <c r="X11" s="6"/>
      <c r="Y11" s="6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6"/>
      <c r="V12" s="6"/>
      <c r="W12" s="6"/>
      <c r="X12" s="6"/>
      <c r="Y12" s="6"/>
    </row>
    <row r="13" customFormat="false" ht="15.7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6"/>
      <c r="V13" s="6"/>
      <c r="W13" s="6"/>
      <c r="X13" s="6"/>
      <c r="Y13" s="6"/>
    </row>
    <row r="14" customFormat="false" ht="15.75" hidden="false" customHeight="true" outlineLevel="0" collapsed="false">
      <c r="A14" s="7" t="s">
        <v>8</v>
      </c>
      <c r="B14" s="7"/>
      <c r="C14" s="7"/>
      <c r="D14" s="7"/>
      <c r="E14" s="7"/>
      <c r="F14" s="7" t="s">
        <v>9</v>
      </c>
      <c r="G14" s="7"/>
      <c r="H14" s="7"/>
      <c r="I14" s="7"/>
      <c r="J14" s="7"/>
      <c r="K14" s="7" t="s">
        <v>10</v>
      </c>
      <c r="L14" s="7"/>
      <c r="M14" s="7"/>
      <c r="N14" s="7"/>
      <c r="O14" s="7"/>
      <c r="P14" s="7" t="s">
        <v>11</v>
      </c>
      <c r="Q14" s="7"/>
      <c r="R14" s="7"/>
      <c r="S14" s="7"/>
      <c r="T14" s="7"/>
      <c r="U14" s="7" t="s">
        <v>12</v>
      </c>
      <c r="V14" s="7"/>
      <c r="W14" s="7"/>
      <c r="X14" s="7"/>
      <c r="Y14" s="7"/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>
      <c r="A17" s="9" t="s">
        <v>13</v>
      </c>
    </row>
    <row r="80" customFormat="false" ht="15.75" hidden="false" customHeight="true" outlineLevel="0" collapsed="false">
      <c r="A80" s="9" t="s">
        <v>14</v>
      </c>
    </row>
    <row r="81" customFormat="false" ht="15" hidden="false" customHeight="true" outlineLevel="0" collapsed="false">
      <c r="A81" s="10" t="s">
        <v>15</v>
      </c>
      <c r="B81" s="10" t="s">
        <v>3</v>
      </c>
      <c r="C81" s="10" t="s">
        <v>16</v>
      </c>
      <c r="D81" s="10" t="s">
        <v>17</v>
      </c>
      <c r="E81" s="10" t="s">
        <v>18</v>
      </c>
      <c r="F81" s="10" t="s">
        <v>19</v>
      </c>
      <c r="G81" s="10" t="s">
        <v>20</v>
      </c>
      <c r="H81" s="10" t="s">
        <v>21</v>
      </c>
    </row>
    <row r="82" customFormat="false" ht="15" hidden="false" customHeight="true" outlineLevel="0" collapsed="false">
      <c r="A82" s="11" t="str">
        <f aca="false">PivotData!A3</f>
        <v>Arun</v>
      </c>
      <c r="B82" s="11" t="n">
        <f aca="false">PivotData!B3</f>
        <v>60</v>
      </c>
      <c r="C82" s="11" t="n">
        <f aca="false">PivotData!C3</f>
        <v>28</v>
      </c>
      <c r="D82" s="12" t="n">
        <f aca="false">PivotData!D3</f>
        <v>2.14285714285714</v>
      </c>
      <c r="E82" s="13" t="n">
        <f aca="false">PivotData!F3</f>
        <v>72.8833333333333</v>
      </c>
      <c r="F82" s="13" t="n">
        <f aca="false">PivotData!G3</f>
        <v>72.8833333333333</v>
      </c>
      <c r="G82" s="14" t="n">
        <f aca="false">PivotData!H3</f>
        <v>1</v>
      </c>
      <c r="H82" s="15" t="n">
        <f aca="false">PivotData!I3</f>
        <v>3</v>
      </c>
    </row>
    <row r="83" customFormat="false" ht="15" hidden="false" customHeight="true" outlineLevel="0" collapsed="false">
      <c r="A83" s="11" t="str">
        <f aca="false">PivotData!A4</f>
        <v>Kiran</v>
      </c>
      <c r="B83" s="11" t="n">
        <f aca="false">PivotData!B4</f>
        <v>66</v>
      </c>
      <c r="C83" s="11" t="n">
        <f aca="false">PivotData!C4</f>
        <v>28</v>
      </c>
      <c r="D83" s="12" t="n">
        <f aca="false">PivotData!D4</f>
        <v>2.35714285714286</v>
      </c>
      <c r="E83" s="13" t="n">
        <f aca="false">PivotData!F4</f>
        <v>79.4666666666667</v>
      </c>
      <c r="F83" s="13" t="n">
        <f aca="false">PivotData!G4</f>
        <v>72.2424242424243</v>
      </c>
      <c r="G83" s="14" t="n">
        <f aca="false">PivotData!H4</f>
        <v>1</v>
      </c>
      <c r="H83" s="15" t="n">
        <f aca="false">PivotData!I4</f>
        <v>1</v>
      </c>
    </row>
    <row r="84" customFormat="false" ht="15" hidden="false" customHeight="true" outlineLevel="0" collapsed="false">
      <c r="A84" s="11" t="str">
        <f aca="false">PivotData!A5</f>
        <v>Priya</v>
      </c>
      <c r="B84" s="11" t="n">
        <f aca="false">PivotData!B5</f>
        <v>59</v>
      </c>
      <c r="C84" s="11" t="n">
        <f aca="false">PivotData!C5</f>
        <v>29</v>
      </c>
      <c r="D84" s="12" t="n">
        <f aca="false">PivotData!D5</f>
        <v>2.03448275862069</v>
      </c>
      <c r="E84" s="13" t="n">
        <f aca="false">PivotData!F5</f>
        <v>58.15</v>
      </c>
      <c r="F84" s="13" t="n">
        <f aca="false">PivotData!G5</f>
        <v>59.135593220339</v>
      </c>
      <c r="G84" s="14" t="n">
        <f aca="false">PivotData!H5</f>
        <v>1</v>
      </c>
      <c r="H84" s="15" t="n">
        <f aca="false">PivotData!I5</f>
        <v>4</v>
      </c>
    </row>
    <row r="85" customFormat="false" ht="15" hidden="false" customHeight="true" outlineLevel="0" collapsed="false">
      <c r="A85" s="11" t="str">
        <f aca="false">PivotData!A6</f>
        <v>John</v>
      </c>
      <c r="B85" s="11" t="n">
        <f aca="false">PivotData!B6</f>
        <v>61</v>
      </c>
      <c r="C85" s="11" t="n">
        <f aca="false">PivotData!C6</f>
        <v>28</v>
      </c>
      <c r="D85" s="12" t="n">
        <f aca="false">PivotData!D6</f>
        <v>2.17857142857143</v>
      </c>
      <c r="E85" s="13" t="n">
        <f aca="false">PivotData!F6</f>
        <v>73.05</v>
      </c>
      <c r="F85" s="13" t="n">
        <f aca="false">PivotData!G6</f>
        <v>71.8524590163934</v>
      </c>
      <c r="G85" s="14" t="n">
        <f aca="false">PivotData!H6</f>
        <v>1</v>
      </c>
      <c r="H85" s="15" t="n">
        <f aca="false">PivotData!I6</f>
        <v>2</v>
      </c>
    </row>
    <row r="86" customFormat="false" ht="15" hidden="false" customHeight="true" outlineLevel="0" collapsed="false">
      <c r="A86" s="11" t="str">
        <f aca="false">PivotData!A7</f>
        <v>David</v>
      </c>
      <c r="B86" s="11" t="n">
        <f aca="false">PivotData!B7</f>
        <v>54</v>
      </c>
      <c r="C86" s="11" t="n">
        <f aca="false">PivotData!C7</f>
        <v>26</v>
      </c>
      <c r="D86" s="12" t="n">
        <f aca="false">PivotData!D7</f>
        <v>2.07692307692308</v>
      </c>
      <c r="E86" s="13" t="n">
        <f aca="false">PivotData!F7</f>
        <v>60.85</v>
      </c>
      <c r="F86" s="13" t="n">
        <f aca="false">PivotData!G7</f>
        <v>67.6111111111111</v>
      </c>
      <c r="G86" s="14" t="n">
        <f aca="false">PivotData!H7</f>
        <v>1</v>
      </c>
      <c r="H86" s="15" t="n">
        <f aca="false">PivotData!I7</f>
        <v>5</v>
      </c>
    </row>
    <row r="88" customFormat="false" ht="15.75" hidden="false" customHeight="true" outlineLevel="0" collapsed="false">
      <c r="A88" s="9" t="s">
        <v>22</v>
      </c>
    </row>
    <row r="89" customFormat="false" ht="15" hidden="false" customHeight="true" outlineLevel="0" collapsed="false">
      <c r="A89" s="10" t="s">
        <v>23</v>
      </c>
      <c r="B89" s="10" t="s">
        <v>24</v>
      </c>
      <c r="C89" s="10" t="s">
        <v>25</v>
      </c>
      <c r="D89" s="10" t="s">
        <v>26</v>
      </c>
      <c r="E89" s="10" t="s">
        <v>27</v>
      </c>
      <c r="F89" s="10" t="s">
        <v>28</v>
      </c>
      <c r="G89" s="10" t="s">
        <v>29</v>
      </c>
      <c r="H89" s="10" t="s">
        <v>30</v>
      </c>
    </row>
    <row r="90" customFormat="false" ht="15" hidden="false" customHeight="true" outlineLevel="0" collapsed="false">
      <c r="A90" s="11" t="str">
        <f aca="false">PivotData!A12</f>
        <v>ABC Agencies</v>
      </c>
      <c r="B90" s="11" t="str">
        <f aca="false">PivotData!B12</f>
        <v>Distributor</v>
      </c>
      <c r="C90" s="11" t="str">
        <f aca="false">PivotData!C12</f>
        <v>Coimbatore</v>
      </c>
      <c r="D90" s="15" t="n">
        <f aca="false">PivotData!D12</f>
        <v>69</v>
      </c>
      <c r="E90" s="11" t="n">
        <f aca="false">PivotData!E12</f>
        <v>4945</v>
      </c>
      <c r="F90" s="13" t="n">
        <f aca="false">PivotData!F12</f>
        <v>71.6666666666667</v>
      </c>
      <c r="G90" s="16" t="n">
        <f aca="false">PivotData!G12</f>
        <v>46203</v>
      </c>
      <c r="H90" s="11" t="str">
        <f aca="false">PivotData!H12</f>
        <v>Kiran</v>
      </c>
    </row>
    <row r="91" customFormat="false" ht="15" hidden="false" customHeight="true" outlineLevel="0" collapsed="false">
      <c r="A91" s="11" t="str">
        <f aca="false">PivotData!A13</f>
        <v>Elite Dealers</v>
      </c>
      <c r="B91" s="11" t="str">
        <f aca="false">PivotData!B13</f>
        <v>Distributor</v>
      </c>
      <c r="C91" s="11" t="str">
        <f aca="false">PivotData!C13</f>
        <v>Chennai</v>
      </c>
      <c r="D91" s="15" t="n">
        <f aca="false">PivotData!D13</f>
        <v>59</v>
      </c>
      <c r="E91" s="11" t="n">
        <f aca="false">PivotData!E13</f>
        <v>4119</v>
      </c>
      <c r="F91" s="13" t="n">
        <f aca="false">PivotData!F13</f>
        <v>69.8135593220339</v>
      </c>
      <c r="G91" s="16" t="n">
        <f aca="false">PivotData!G13</f>
        <v>46203</v>
      </c>
      <c r="H91" s="11" t="str">
        <f aca="false">PivotData!H13</f>
        <v>John</v>
      </c>
    </row>
    <row r="92" customFormat="false" ht="15" hidden="false" customHeight="true" outlineLevel="0" collapsed="false">
      <c r="A92" s="11" t="str">
        <f aca="false">PivotData!A14</f>
        <v>Metro Site</v>
      </c>
      <c r="B92" s="11" t="str">
        <f aca="false">PivotData!B14</f>
        <v>Distributor</v>
      </c>
      <c r="C92" s="11" t="str">
        <f aca="false">PivotData!C14</f>
        <v>Chennai</v>
      </c>
      <c r="D92" s="15" t="n">
        <f aca="false">PivotData!D14</f>
        <v>53</v>
      </c>
      <c r="E92" s="11" t="n">
        <f aca="false">PivotData!E14</f>
        <v>3291</v>
      </c>
      <c r="F92" s="13" t="n">
        <f aca="false">PivotData!F14</f>
        <v>62.0943396226415</v>
      </c>
      <c r="G92" s="16" t="n">
        <f aca="false">PivotData!G14</f>
        <v>46203</v>
      </c>
      <c r="H92" s="11" t="str">
        <f aca="false">PivotData!H14</f>
        <v>Priya</v>
      </c>
    </row>
    <row r="93" customFormat="false" ht="15" hidden="false" customHeight="true" outlineLevel="0" collapsed="false">
      <c r="A93" s="11" t="str">
        <f aca="false">PivotData!A15</f>
        <v>Prime Traders</v>
      </c>
      <c r="B93" s="11" t="str">
        <f aca="false">PivotData!B15</f>
        <v>Distributor</v>
      </c>
      <c r="C93" s="11" t="str">
        <f aca="false">PivotData!C15</f>
        <v>Chennai</v>
      </c>
      <c r="D93" s="15" t="n">
        <f aca="false">PivotData!D15</f>
        <v>63</v>
      </c>
      <c r="E93" s="11" t="n">
        <f aca="false">PivotData!E15</f>
        <v>4222</v>
      </c>
      <c r="F93" s="13" t="n">
        <f aca="false">PivotData!F15</f>
        <v>67.015873015873</v>
      </c>
      <c r="G93" s="16" t="n">
        <f aca="false">PivotData!G15</f>
        <v>46203</v>
      </c>
      <c r="H93" s="11" t="str">
        <f aca="false">PivotData!H15</f>
        <v>Priya</v>
      </c>
    </row>
    <row r="94" customFormat="false" ht="15" hidden="false" customHeight="true" outlineLevel="0" collapsed="false">
      <c r="A94" s="11" t="str">
        <f aca="false">PivotData!A16</f>
        <v>XYZ Motors</v>
      </c>
      <c r="B94" s="11" t="str">
        <f aca="false">PivotData!B16</f>
        <v>OEM</v>
      </c>
      <c r="C94" s="11" t="str">
        <f aca="false">PivotData!C16</f>
        <v>Coimbatore</v>
      </c>
      <c r="D94" s="15" t="n">
        <f aca="false">PivotData!D16</f>
        <v>56</v>
      </c>
      <c r="E94" s="11" t="n">
        <f aca="false">PivotData!E16</f>
        <v>4087</v>
      </c>
      <c r="F94" s="13" t="n">
        <f aca="false">PivotData!F16</f>
        <v>72.9821428571429</v>
      </c>
      <c r="G94" s="16" t="n">
        <f aca="false">PivotData!G16</f>
        <v>46203</v>
      </c>
      <c r="H94" s="11" t="str">
        <f aca="false">PivotData!H16</f>
        <v>Priya</v>
      </c>
    </row>
    <row r="96" customFormat="false" ht="15.75" hidden="false" customHeight="true" outlineLevel="0" collapsed="false">
      <c r="A96" s="9" t="s">
        <v>31</v>
      </c>
    </row>
    <row r="97" customFormat="false" ht="15" hidden="false" customHeight="true" outlineLevel="0" collapsed="false">
      <c r="A97" s="10" t="s">
        <v>32</v>
      </c>
      <c r="B97" s="10" t="s">
        <v>16</v>
      </c>
      <c r="C97" s="10" t="s">
        <v>3</v>
      </c>
      <c r="D97" s="10" t="s">
        <v>33</v>
      </c>
      <c r="E97" s="10" t="s">
        <v>34</v>
      </c>
      <c r="F97" s="10" t="s">
        <v>35</v>
      </c>
      <c r="G97" s="10" t="s">
        <v>36</v>
      </c>
    </row>
    <row r="98" customFormat="false" ht="15" hidden="false" customHeight="true" outlineLevel="0" collapsed="false">
      <c r="A98" s="17" t="n">
        <f aca="false">PivotData!E22</f>
        <v>46174</v>
      </c>
      <c r="B98" s="11" t="n">
        <f aca="false">PivotData!F22</f>
        <v>30</v>
      </c>
      <c r="C98" s="11" t="n">
        <f aca="false">PivotData!G22</f>
        <v>300</v>
      </c>
      <c r="D98" s="11" t="n">
        <f aca="false">PivotData!H22</f>
        <v>300</v>
      </c>
      <c r="E98" s="11" t="n">
        <f aca="false">PivotData!I22</f>
        <v>0</v>
      </c>
      <c r="F98" s="13" t="n">
        <f aca="false">PivotData!J22</f>
        <v>344.4</v>
      </c>
      <c r="G98" s="13" t="n">
        <f aca="false">PivotData!K22</f>
        <v>11.48</v>
      </c>
    </row>
    <row r="99" customFormat="false" ht="15" hidden="false" customHeight="true" outlineLevel="0" collapsed="false">
      <c r="A99" s="17" t="n">
        <f aca="false">PivotData!E23</f>
        <v>46204</v>
      </c>
      <c r="B99" s="11" t="n">
        <f aca="false">PivotData!F23</f>
        <v>0</v>
      </c>
      <c r="C99" s="11" t="n">
        <f aca="false">PivotData!G23</f>
        <v>0</v>
      </c>
      <c r="D99" s="11" t="n">
        <f aca="false">PivotData!H23</f>
        <v>0</v>
      </c>
      <c r="E99" s="11" t="n">
        <f aca="false">PivotData!I23</f>
        <v>0</v>
      </c>
      <c r="F99" s="13" t="n">
        <f aca="false">PivotData!J23</f>
        <v>0</v>
      </c>
      <c r="G99" s="13" t="n">
        <f aca="false">PivotData!K23</f>
        <v>0</v>
      </c>
    </row>
    <row r="100" customFormat="false" ht="15" hidden="false" customHeight="true" outlineLevel="0" collapsed="false">
      <c r="A100" s="17" t="n">
        <f aca="false">PivotData!E24</f>
        <v>46235</v>
      </c>
      <c r="B100" s="11" t="n">
        <f aca="false">PivotData!F24</f>
        <v>0</v>
      </c>
      <c r="C100" s="11" t="n">
        <f aca="false">PivotData!G24</f>
        <v>0</v>
      </c>
      <c r="D100" s="11" t="n">
        <f aca="false">PivotData!H24</f>
        <v>0</v>
      </c>
      <c r="E100" s="11" t="n">
        <f aca="false">PivotData!I24</f>
        <v>0</v>
      </c>
      <c r="F100" s="13" t="n">
        <f aca="false">PivotData!J24</f>
        <v>0</v>
      </c>
      <c r="G100" s="13" t="n">
        <f aca="false">PivotData!K24</f>
        <v>0</v>
      </c>
    </row>
    <row r="101" customFormat="false" ht="15" hidden="false" customHeight="true" outlineLevel="0" collapsed="false">
      <c r="A101" s="17" t="n">
        <f aca="false">PivotData!E25</f>
        <v>46266</v>
      </c>
      <c r="B101" s="11" t="n">
        <f aca="false">PivotData!F25</f>
        <v>0</v>
      </c>
      <c r="C101" s="11" t="n">
        <f aca="false">PivotData!G25</f>
        <v>0</v>
      </c>
      <c r="D101" s="11" t="n">
        <f aca="false">PivotData!H25</f>
        <v>0</v>
      </c>
      <c r="E101" s="11" t="n">
        <f aca="false">PivotData!I25</f>
        <v>0</v>
      </c>
      <c r="F101" s="13" t="n">
        <f aca="false">PivotData!J25</f>
        <v>0</v>
      </c>
      <c r="G101" s="13" t="n">
        <f aca="false">PivotData!K25</f>
        <v>0</v>
      </c>
    </row>
    <row r="102" customFormat="false" ht="15" hidden="false" customHeight="true" outlineLevel="0" collapsed="false">
      <c r="A102" s="17" t="n">
        <f aca="false">PivotData!E26</f>
        <v>46296</v>
      </c>
      <c r="B102" s="11" t="n">
        <f aca="false">PivotData!F26</f>
        <v>0</v>
      </c>
      <c r="C102" s="11" t="n">
        <f aca="false">PivotData!G26</f>
        <v>0</v>
      </c>
      <c r="D102" s="11" t="n">
        <f aca="false">PivotData!H26</f>
        <v>0</v>
      </c>
      <c r="E102" s="11" t="n">
        <f aca="false">PivotData!I26</f>
        <v>0</v>
      </c>
      <c r="F102" s="13" t="n">
        <f aca="false">PivotData!J26</f>
        <v>0</v>
      </c>
      <c r="G102" s="13" t="n">
        <f aca="false">PivotData!K26</f>
        <v>0</v>
      </c>
    </row>
    <row r="103" customFormat="false" ht="15" hidden="false" customHeight="true" outlineLevel="0" collapsed="false">
      <c r="A103" s="17" t="n">
        <f aca="false">PivotData!E27</f>
        <v>46327</v>
      </c>
      <c r="B103" s="11" t="n">
        <f aca="false">PivotData!F27</f>
        <v>0</v>
      </c>
      <c r="C103" s="11" t="n">
        <f aca="false">PivotData!G27</f>
        <v>0</v>
      </c>
      <c r="D103" s="11" t="n">
        <f aca="false">PivotData!H27</f>
        <v>0</v>
      </c>
      <c r="E103" s="11" t="n">
        <f aca="false">PivotData!I27</f>
        <v>0</v>
      </c>
      <c r="F103" s="13" t="n">
        <f aca="false">PivotData!J27</f>
        <v>0</v>
      </c>
      <c r="G103" s="13" t="n">
        <f aca="false">PivotData!K27</f>
        <v>0</v>
      </c>
    </row>
    <row r="104" customFormat="false" ht="15" hidden="false" customHeight="true" outlineLevel="0" collapsed="false">
      <c r="A104" s="17" t="n">
        <f aca="false">PivotData!E28</f>
        <v>46357</v>
      </c>
      <c r="B104" s="11" t="n">
        <f aca="false">PivotData!F28</f>
        <v>0</v>
      </c>
      <c r="C104" s="11" t="n">
        <f aca="false">PivotData!G28</f>
        <v>0</v>
      </c>
      <c r="D104" s="11" t="n">
        <f aca="false">PivotData!H28</f>
        <v>0</v>
      </c>
      <c r="E104" s="11" t="n">
        <f aca="false">PivotData!I28</f>
        <v>0</v>
      </c>
      <c r="F104" s="13" t="n">
        <f aca="false">PivotData!J28</f>
        <v>0</v>
      </c>
      <c r="G104" s="13" t="n">
        <f aca="false">PivotData!K28</f>
        <v>0</v>
      </c>
    </row>
    <row r="105" customFormat="false" ht="15" hidden="false" customHeight="true" outlineLevel="0" collapsed="false">
      <c r="A105" s="17" t="n">
        <f aca="false">PivotData!E29</f>
        <v>46388</v>
      </c>
      <c r="B105" s="11" t="n">
        <f aca="false">PivotData!F29</f>
        <v>0</v>
      </c>
      <c r="C105" s="11" t="n">
        <f aca="false">PivotData!G29</f>
        <v>0</v>
      </c>
      <c r="D105" s="11" t="n">
        <f aca="false">PivotData!H29</f>
        <v>0</v>
      </c>
      <c r="E105" s="11" t="n">
        <f aca="false">PivotData!I29</f>
        <v>0</v>
      </c>
      <c r="F105" s="13" t="n">
        <f aca="false">PivotData!J29</f>
        <v>0</v>
      </c>
      <c r="G105" s="13" t="n">
        <f aca="false">PivotData!K29</f>
        <v>0</v>
      </c>
    </row>
    <row r="106" customFormat="false" ht="15" hidden="false" customHeight="true" outlineLevel="0" collapsed="false">
      <c r="A106" s="17" t="n">
        <f aca="false">PivotData!E30</f>
        <v>46419</v>
      </c>
      <c r="B106" s="11" t="n">
        <f aca="false">PivotData!F30</f>
        <v>0</v>
      </c>
      <c r="C106" s="11" t="n">
        <f aca="false">PivotData!G30</f>
        <v>0</v>
      </c>
      <c r="D106" s="11" t="n">
        <f aca="false">PivotData!H30</f>
        <v>0</v>
      </c>
      <c r="E106" s="11" t="n">
        <f aca="false">PivotData!I30</f>
        <v>0</v>
      </c>
      <c r="F106" s="13" t="n">
        <f aca="false">PivotData!J30</f>
        <v>0</v>
      </c>
      <c r="G106" s="13" t="n">
        <f aca="false">PivotData!K30</f>
        <v>0</v>
      </c>
    </row>
    <row r="107" customFormat="false" ht="15" hidden="false" customHeight="true" outlineLevel="0" collapsed="false">
      <c r="A107" s="17" t="n">
        <f aca="false">PivotData!E31</f>
        <v>46447</v>
      </c>
      <c r="B107" s="11" t="n">
        <f aca="false">PivotData!F31</f>
        <v>0</v>
      </c>
      <c r="C107" s="11" t="n">
        <f aca="false">PivotData!G31</f>
        <v>0</v>
      </c>
      <c r="D107" s="11" t="n">
        <f aca="false">PivotData!H31</f>
        <v>0</v>
      </c>
      <c r="E107" s="11" t="n">
        <f aca="false">PivotData!I31</f>
        <v>0</v>
      </c>
      <c r="F107" s="13" t="n">
        <f aca="false">PivotData!J31</f>
        <v>0</v>
      </c>
      <c r="G107" s="13" t="n">
        <f aca="false">PivotData!K31</f>
        <v>0</v>
      </c>
    </row>
    <row r="108" customFormat="false" ht="15" hidden="false" customHeight="true" outlineLevel="0" collapsed="false">
      <c r="A108" s="17" t="n">
        <f aca="false">PivotData!E32</f>
        <v>46478</v>
      </c>
      <c r="B108" s="11" t="n">
        <f aca="false">PivotData!F32</f>
        <v>0</v>
      </c>
      <c r="C108" s="11" t="n">
        <f aca="false">PivotData!G32</f>
        <v>0</v>
      </c>
      <c r="D108" s="11" t="n">
        <f aca="false">PivotData!H32</f>
        <v>0</v>
      </c>
      <c r="E108" s="11" t="n">
        <f aca="false">PivotData!I32</f>
        <v>0</v>
      </c>
      <c r="F108" s="13" t="n">
        <f aca="false">PivotData!J32</f>
        <v>0</v>
      </c>
      <c r="G108" s="13" t="n">
        <f aca="false">PivotData!K32</f>
        <v>0</v>
      </c>
    </row>
    <row r="109" customFormat="false" ht="15" hidden="false" customHeight="true" outlineLevel="0" collapsed="false">
      <c r="A109" s="17" t="n">
        <f aca="false">PivotData!E33</f>
        <v>46508</v>
      </c>
      <c r="B109" s="11" t="n">
        <f aca="false">PivotData!F33</f>
        <v>0</v>
      </c>
      <c r="C109" s="11" t="n">
        <f aca="false">PivotData!G33</f>
        <v>0</v>
      </c>
      <c r="D109" s="11" t="n">
        <f aca="false">PivotData!H33</f>
        <v>0</v>
      </c>
      <c r="E109" s="11" t="n">
        <f aca="false">PivotData!I33</f>
        <v>0</v>
      </c>
      <c r="F109" s="13" t="n">
        <f aca="false">PivotData!J33</f>
        <v>0</v>
      </c>
      <c r="G109" s="13" t="n">
        <f aca="false">PivotData!K33</f>
        <v>0</v>
      </c>
    </row>
    <row r="112" customFormat="false" ht="15.75" hidden="false" customHeight="true" outlineLevel="0" collapsed="false">
      <c r="A112" s="9" t="s">
        <v>37</v>
      </c>
    </row>
    <row r="113" customFormat="false" ht="15" hidden="false" customHeight="true" outlineLevel="0" collapsed="false">
      <c r="A113" s="18" t="s">
        <v>3</v>
      </c>
      <c r="B113" s="19" t="n">
        <f aca="false">PivotData!B57</f>
        <v>60</v>
      </c>
      <c r="D113" s="20" t="s">
        <v>38</v>
      </c>
      <c r="G113" s="20" t="s">
        <v>39</v>
      </c>
    </row>
    <row r="114" customFormat="false" ht="15" hidden="false" customHeight="true" outlineLevel="0" collapsed="false">
      <c r="A114" s="18" t="s">
        <v>16</v>
      </c>
      <c r="B114" s="21" t="n">
        <f aca="false">PivotData!B58</f>
        <v>28</v>
      </c>
      <c r="D114" s="1" t="str">
        <f aca="false">PivotData!D57</f>
        <v>ABC Agencies</v>
      </c>
      <c r="E114" s="1" t="n">
        <f aca="false">PivotData!E57</f>
        <v>15</v>
      </c>
      <c r="G114" s="1" t="str">
        <f aca="false">PivotData!G57</f>
        <v>Distributor</v>
      </c>
      <c r="H114" s="1" t="n">
        <f aca="false">PivotData!H57</f>
        <v>18</v>
      </c>
    </row>
    <row r="115" customFormat="false" ht="15" hidden="false" customHeight="true" outlineLevel="0" collapsed="false">
      <c r="A115" s="18" t="s">
        <v>35</v>
      </c>
      <c r="B115" s="21" t="n">
        <f aca="false">PivotData!B59</f>
        <v>72.8833333333333</v>
      </c>
      <c r="D115" s="1" t="str">
        <f aca="false">PivotData!D58</f>
        <v>Elite Dealers</v>
      </c>
      <c r="E115" s="1" t="n">
        <f aca="false">PivotData!E58</f>
        <v>10</v>
      </c>
      <c r="G115" s="1" t="str">
        <f aca="false">PivotData!G58</f>
        <v>OEM</v>
      </c>
      <c r="H115" s="1" t="n">
        <f aca="false">PivotData!H58</f>
        <v>13</v>
      </c>
    </row>
    <row r="116" customFormat="false" ht="15" hidden="false" customHeight="true" outlineLevel="0" collapsed="false">
      <c r="A116" s="18" t="s">
        <v>40</v>
      </c>
      <c r="B116" s="19" t="n">
        <f aca="false">PivotData!B60</f>
        <v>5</v>
      </c>
      <c r="D116" s="1" t="str">
        <f aca="false">PivotData!D59</f>
        <v>Metro Site</v>
      </c>
      <c r="E116" s="1" t="n">
        <f aca="false">PivotData!E59</f>
        <v>10</v>
      </c>
      <c r="G116" s="1" t="str">
        <f aca="false">PivotData!G59</f>
        <v>Dealer</v>
      </c>
      <c r="H116" s="1" t="n">
        <f aca="false">PivotData!H59</f>
        <v>18</v>
      </c>
    </row>
    <row r="117" customFormat="false" ht="15" hidden="false" customHeight="true" outlineLevel="0" collapsed="false">
      <c r="A117" s="18" t="s">
        <v>20</v>
      </c>
      <c r="B117" s="22" t="n">
        <f aca="false">PivotData!B61</f>
        <v>2.14285714285714</v>
      </c>
      <c r="D117" s="1" t="str">
        <f aca="false">PivotData!D60</f>
        <v>Prime Traders</v>
      </c>
      <c r="E117" s="1" t="n">
        <f aca="false">PivotData!E60</f>
        <v>14</v>
      </c>
      <c r="G117" s="1" t="str">
        <f aca="false">PivotData!G60</f>
        <v>Project Site</v>
      </c>
      <c r="H117" s="1" t="n">
        <f aca="false">PivotData!H60</f>
        <v>11</v>
      </c>
    </row>
    <row r="118" customFormat="false" ht="15" hidden="false" customHeight="true" outlineLevel="0" collapsed="false">
      <c r="D118" s="1" t="str">
        <f aca="false">PivotData!D61</f>
        <v>XYZ Motors</v>
      </c>
      <c r="E118" s="1" t="n">
        <f aca="false">PivotData!E61</f>
        <v>11</v>
      </c>
    </row>
  </sheetData>
  <mergeCells count="23">
    <mergeCell ref="A1:AB3"/>
    <mergeCell ref="A4:AB4"/>
    <mergeCell ref="B5:C5"/>
    <mergeCell ref="A6:E8"/>
    <mergeCell ref="F6:J8"/>
    <mergeCell ref="K6:O8"/>
    <mergeCell ref="P6:T8"/>
    <mergeCell ref="U6:Y8"/>
    <mergeCell ref="A9:E9"/>
    <mergeCell ref="F9:J9"/>
    <mergeCell ref="K9:O9"/>
    <mergeCell ref="P9:T9"/>
    <mergeCell ref="U9:Y9"/>
    <mergeCell ref="A11:E13"/>
    <mergeCell ref="F11:J13"/>
    <mergeCell ref="K11:O13"/>
    <mergeCell ref="P11:T13"/>
    <mergeCell ref="U11:Y13"/>
    <mergeCell ref="A14:E14"/>
    <mergeCell ref="F14:J14"/>
    <mergeCell ref="K14:O14"/>
    <mergeCell ref="P14:T14"/>
    <mergeCell ref="U14:Y14"/>
  </mergeCells>
  <conditionalFormatting sqref="H82:H86">
    <cfRule type="iconSet" priority="2">
      <iconSet iconSet="3TrafficLights1">
        <cfvo type="percent" val="0"/>
        <cfvo type="percent" val="33"/>
        <cfvo type="percent" val="67"/>
      </iconSet>
    </cfRule>
  </conditionalFormatting>
  <conditionalFormatting sqref="E82:E86">
    <cfRule type="dataBar" priority="3">
      <dataBar showValue="1" minLength="10" maxLength="90">
        <cfvo type="min" val="0"/>
        <cfvo type="max" val="0"/>
        <color rgb="FF2E74B5"/>
      </dataBar>
      <extLst>
        <ext xmlns:x14="http://schemas.microsoft.com/office/spreadsheetml/2009/9/main" uri="{B025F937-C7B1-47D3-B67F-A62EFF666E3E}">
          <x14:id>{98864621-D73B-46B3-B7AF-D51113A3B1A2}</x14:id>
        </ext>
      </extLst>
    </cfRule>
  </conditionalFormatting>
  <conditionalFormatting sqref="G82:G86">
    <cfRule type="colorScale" priority="4">
      <colorScale>
        <cfvo type="min" val="0"/>
        <cfvo type="max" val="0"/>
        <color rgb="FFF8CBAD"/>
        <color rgb="FFC6E0B4"/>
      </colorScale>
    </cfRule>
  </conditionalFormatting>
  <conditionalFormatting sqref="D90:D94">
    <cfRule type="dataBar" priority="5">
      <dataBar showValue="1" minLength="10" maxLength="90">
        <cfvo type="min" val="0"/>
        <cfvo type="max" val="0"/>
        <color rgb="FFA9D18E"/>
      </dataBar>
      <extLst>
        <ext xmlns:x14="http://schemas.microsoft.com/office/spreadsheetml/2009/9/main" uri="{B025F937-C7B1-47D3-B67F-A62EFF666E3E}">
          <x14:id>{9F172B5E-FB3F-45F6-A6ED-E09F981CAFBF}</x14:id>
        </ext>
      </extLst>
    </cfRule>
  </conditionalFormatting>
  <dataValidations count="2">
    <dataValidation allowBlank="false" errorStyle="stop" operator="between" showDropDown="false" showErrorMessage="false" showInputMessage="false" sqref="A6" type="list">
      <formula1>Calculations!$A$3:$A$7</formula1>
      <formula2>0</formula2>
    </dataValidation>
    <dataValidation allowBlank="false" errorStyle="stop" operator="between" showDropDown="false" showErrorMessage="false" showInputMessage="false" sqref="B5" type="list">
      <formula1>Calculations!$A$3:$A$7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864621-D73B-46B3-B7AF-D51113A3B1A2}">
            <x14:dataBar minLength="10" maxLength="90" axisPosition="none" gradient="true">
              <x14:cfvo type="min"/>
              <x14:cfvo type="max"/>
              <x14:negativeFillColor rgb="FF2E74B5"/>
              <x14:axisColor rgb="FF000000"/>
            </x14:dataBar>
          </x14:cfRule>
          <xm:sqref>E82:E86</xm:sqref>
        </x14:conditionalFormatting>
        <x14:conditionalFormatting xmlns:xm="http://schemas.microsoft.com/office/excel/2006/main">
          <x14:cfRule type="dataBar" id="{9F172B5E-FB3F-45F6-A6ED-E09F981CAFBF}">
            <x14:dataBar minLength="10" maxLength="90" axisPosition="none" gradient="true">
              <x14:cfvo type="min"/>
              <x14:cfvo type="max"/>
              <x14:negativeFillColor rgb="FFA9D18E"/>
              <x14:axisColor rgb="FF000000"/>
            </x14:dataBar>
          </x14:cfRule>
          <xm:sqref>D90:D94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P3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10" min="2" style="1" width="14"/>
    <col collapsed="false" customWidth="true" hidden="false" outlineLevel="0" max="13" min="11" style="1" width="12"/>
    <col collapsed="false" customWidth="true" hidden="false" outlineLevel="0" max="16" min="16" style="1" width="11.67"/>
  </cols>
  <sheetData>
    <row r="1" customFormat="false" ht="14.25" hidden="false" customHeight="true" outlineLevel="0" collapsed="false">
      <c r="A1" s="23" t="s">
        <v>41</v>
      </c>
      <c r="B1" s="23" t="s">
        <v>15</v>
      </c>
      <c r="C1" s="23" t="s">
        <v>42</v>
      </c>
      <c r="D1" s="23" t="s">
        <v>24</v>
      </c>
      <c r="E1" s="23" t="s">
        <v>23</v>
      </c>
      <c r="F1" s="23" t="s">
        <v>25</v>
      </c>
      <c r="G1" s="23" t="s">
        <v>43</v>
      </c>
      <c r="H1" s="23" t="s">
        <v>44</v>
      </c>
      <c r="I1" s="23" t="s">
        <v>45</v>
      </c>
      <c r="J1" s="23" t="s">
        <v>46</v>
      </c>
      <c r="K1" s="23" t="s">
        <v>47</v>
      </c>
      <c r="L1" s="23" t="s">
        <v>32</v>
      </c>
      <c r="M1" s="23" t="s">
        <v>48</v>
      </c>
      <c r="P1" s="24"/>
    </row>
    <row r="2" customFormat="false" ht="14.25" hidden="false" customHeight="true" outlineLevel="0" collapsed="false">
      <c r="A2" s="25" t="n">
        <v>46174</v>
      </c>
      <c r="B2" s="1" t="s">
        <v>2</v>
      </c>
      <c r="C2" s="1" t="s">
        <v>49</v>
      </c>
      <c r="D2" s="1" t="s">
        <v>50</v>
      </c>
      <c r="E2" s="1" t="s">
        <v>51</v>
      </c>
      <c r="F2" s="1" t="s">
        <v>52</v>
      </c>
      <c r="G2" s="26" t="n">
        <v>0.375</v>
      </c>
      <c r="H2" s="26" t="n">
        <v>0.426388888888889</v>
      </c>
      <c r="I2" s="1" t="n">
        <v>74</v>
      </c>
      <c r="J2" s="1" t="s">
        <v>53</v>
      </c>
      <c r="K2" s="27" t="s">
        <v>54</v>
      </c>
      <c r="L2" s="1" t="str">
        <f aca="false">TEXT(A2,"mmm-yyyy")</f>
        <v>Jun-2026</v>
      </c>
      <c r="M2" s="28" t="n">
        <f aca="false">DATE(YEAR(A2),MONTH(A2),1)</f>
        <v>46174</v>
      </c>
    </row>
    <row r="3" customFormat="false" ht="14.25" hidden="false" customHeight="true" outlineLevel="0" collapsed="false">
      <c r="A3" s="25" t="n">
        <v>46175</v>
      </c>
      <c r="B3" s="1" t="s">
        <v>55</v>
      </c>
      <c r="C3" s="1" t="s">
        <v>56</v>
      </c>
      <c r="D3" s="1" t="s">
        <v>50</v>
      </c>
      <c r="E3" s="1" t="s">
        <v>57</v>
      </c>
      <c r="F3" s="1" t="s">
        <v>58</v>
      </c>
      <c r="G3" s="26" t="n">
        <v>0.375</v>
      </c>
      <c r="H3" s="26" t="n">
        <v>0.399305555555556</v>
      </c>
      <c r="I3" s="1" t="n">
        <v>35</v>
      </c>
      <c r="J3" s="1" t="s">
        <v>59</v>
      </c>
      <c r="K3" s="27" t="s">
        <v>54</v>
      </c>
      <c r="L3" s="1" t="str">
        <f aca="false">TEXT(A3,"mmm-yyyy")</f>
        <v>Jun-2026</v>
      </c>
      <c r="M3" s="28" t="n">
        <f aca="false">DATE(YEAR(A3),MONTH(A3),1)</f>
        <v>46174</v>
      </c>
    </row>
    <row r="4" customFormat="false" ht="14.25" hidden="false" customHeight="true" outlineLevel="0" collapsed="false">
      <c r="A4" s="25" t="n">
        <v>46176</v>
      </c>
      <c r="B4" s="1" t="s">
        <v>2</v>
      </c>
      <c r="C4" s="1" t="s">
        <v>56</v>
      </c>
      <c r="D4" s="1" t="s">
        <v>60</v>
      </c>
      <c r="E4" s="1" t="s">
        <v>57</v>
      </c>
      <c r="F4" s="1" t="s">
        <v>52</v>
      </c>
      <c r="G4" s="26" t="n">
        <v>0.53125</v>
      </c>
      <c r="H4" s="26" t="n">
        <v>0.595833333333333</v>
      </c>
      <c r="I4" s="1" t="n">
        <v>93</v>
      </c>
      <c r="J4" s="1" t="s">
        <v>61</v>
      </c>
      <c r="K4" s="27" t="s">
        <v>54</v>
      </c>
      <c r="L4" s="1" t="str">
        <f aca="false">TEXT(A4,"mmm-yyyy")</f>
        <v>Jun-2026</v>
      </c>
      <c r="M4" s="28" t="n">
        <f aca="false">DATE(YEAR(A4),MONTH(A4),1)</f>
        <v>46174</v>
      </c>
    </row>
    <row r="5" customFormat="false" ht="14.25" hidden="false" customHeight="true" outlineLevel="0" collapsed="false">
      <c r="A5" s="25" t="n">
        <v>46177</v>
      </c>
      <c r="B5" s="1" t="s">
        <v>55</v>
      </c>
      <c r="C5" s="1" t="s">
        <v>56</v>
      </c>
      <c r="D5" s="1" t="s">
        <v>62</v>
      </c>
      <c r="E5" s="1" t="s">
        <v>57</v>
      </c>
      <c r="F5" s="1" t="s">
        <v>58</v>
      </c>
      <c r="G5" s="26" t="n">
        <v>0.385416666666667</v>
      </c>
      <c r="H5" s="26" t="n">
        <v>0.418055555555556</v>
      </c>
      <c r="I5" s="1" t="n">
        <v>47</v>
      </c>
      <c r="J5" s="1" t="s">
        <v>53</v>
      </c>
      <c r="K5" s="27" t="s">
        <v>54</v>
      </c>
      <c r="L5" s="1" t="str">
        <f aca="false">TEXT(A5,"mmm-yyyy")</f>
        <v>Jun-2026</v>
      </c>
      <c r="M5" s="28" t="n">
        <f aca="false">DATE(YEAR(A5),MONTH(A5),1)</f>
        <v>46174</v>
      </c>
    </row>
    <row r="6" customFormat="false" ht="14.25" hidden="false" customHeight="true" outlineLevel="0" collapsed="false">
      <c r="A6" s="25" t="n">
        <v>46178</v>
      </c>
      <c r="B6" s="1" t="s">
        <v>55</v>
      </c>
      <c r="C6" s="1" t="s">
        <v>49</v>
      </c>
      <c r="D6" s="1" t="s">
        <v>62</v>
      </c>
      <c r="E6" s="1" t="s">
        <v>51</v>
      </c>
      <c r="F6" s="1" t="s">
        <v>58</v>
      </c>
      <c r="G6" s="26" t="n">
        <v>0.46875</v>
      </c>
      <c r="H6" s="26" t="n">
        <v>0.520833333333333</v>
      </c>
      <c r="I6" s="1" t="n">
        <v>75</v>
      </c>
      <c r="J6" s="1" t="s">
        <v>59</v>
      </c>
      <c r="K6" s="27" t="s">
        <v>54</v>
      </c>
      <c r="L6" s="1" t="str">
        <f aca="false">TEXT(A6,"mmm-yyyy")</f>
        <v>Jun-2026</v>
      </c>
      <c r="M6" s="28" t="n">
        <f aca="false">DATE(YEAR(A6),MONTH(A6),1)</f>
        <v>46174</v>
      </c>
    </row>
    <row r="7" customFormat="false" ht="14.25" hidden="false" customHeight="true" outlineLevel="0" collapsed="false">
      <c r="A7" s="25" t="n">
        <v>46179</v>
      </c>
      <c r="B7" s="1" t="s">
        <v>63</v>
      </c>
      <c r="C7" s="1" t="s">
        <v>64</v>
      </c>
      <c r="D7" s="1" t="s">
        <v>60</v>
      </c>
      <c r="E7" s="1" t="s">
        <v>65</v>
      </c>
      <c r="F7" s="1" t="s">
        <v>52</v>
      </c>
      <c r="G7" s="26" t="n">
        <v>0.5625</v>
      </c>
      <c r="H7" s="26" t="n">
        <v>0.611111111111111</v>
      </c>
      <c r="I7" s="1" t="n">
        <v>70</v>
      </c>
      <c r="J7" s="1" t="s">
        <v>61</v>
      </c>
      <c r="K7" s="27" t="s">
        <v>54</v>
      </c>
      <c r="L7" s="1" t="str">
        <f aca="false">TEXT(A7,"mmm-yyyy")</f>
        <v>Jun-2026</v>
      </c>
      <c r="M7" s="28" t="n">
        <f aca="false">DATE(YEAR(A7),MONTH(A7),1)</f>
        <v>46174</v>
      </c>
    </row>
    <row r="8" customFormat="false" ht="14.25" hidden="false" customHeight="true" outlineLevel="0" collapsed="false">
      <c r="A8" s="25" t="n">
        <v>46180</v>
      </c>
      <c r="B8" s="1" t="s">
        <v>55</v>
      </c>
      <c r="C8" s="1" t="s">
        <v>66</v>
      </c>
      <c r="D8" s="1" t="s">
        <v>50</v>
      </c>
      <c r="E8" s="1" t="s">
        <v>67</v>
      </c>
      <c r="F8" s="1" t="s">
        <v>58</v>
      </c>
      <c r="G8" s="26" t="n">
        <v>0.677083333333333</v>
      </c>
      <c r="H8" s="26" t="n">
        <v>0.736805555555556</v>
      </c>
      <c r="I8" s="1" t="n">
        <v>86</v>
      </c>
      <c r="J8" s="1" t="s">
        <v>59</v>
      </c>
      <c r="K8" s="27" t="s">
        <v>54</v>
      </c>
      <c r="L8" s="1" t="str">
        <f aca="false">TEXT(A8,"mmm-yyyy")</f>
        <v>Jun-2026</v>
      </c>
      <c r="M8" s="28" t="n">
        <f aca="false">DATE(YEAR(A8),MONTH(A8),1)</f>
        <v>46174</v>
      </c>
    </row>
    <row r="9" customFormat="false" ht="14.25" hidden="false" customHeight="true" outlineLevel="0" collapsed="false">
      <c r="A9" s="25" t="n">
        <v>46181</v>
      </c>
      <c r="B9" s="1" t="s">
        <v>68</v>
      </c>
      <c r="C9" s="1" t="s">
        <v>64</v>
      </c>
      <c r="D9" s="1" t="s">
        <v>62</v>
      </c>
      <c r="E9" s="1" t="s">
        <v>65</v>
      </c>
      <c r="F9" s="1" t="s">
        <v>58</v>
      </c>
      <c r="G9" s="26" t="n">
        <v>0.489583333333333</v>
      </c>
      <c r="H9" s="26" t="n">
        <v>0.529861111111111</v>
      </c>
      <c r="I9" s="1" t="n">
        <v>58</v>
      </c>
      <c r="J9" s="1" t="s">
        <v>69</v>
      </c>
      <c r="K9" s="27" t="s">
        <v>54</v>
      </c>
      <c r="L9" s="1" t="str">
        <f aca="false">TEXT(A9,"mmm-yyyy")</f>
        <v>Jun-2026</v>
      </c>
      <c r="M9" s="28" t="n">
        <f aca="false">DATE(YEAR(A9),MONTH(A9),1)</f>
        <v>46174</v>
      </c>
    </row>
    <row r="10" customFormat="false" ht="14.25" hidden="false" customHeight="true" outlineLevel="0" collapsed="false">
      <c r="A10" s="25" t="n">
        <v>46182</v>
      </c>
      <c r="B10" s="1" t="s">
        <v>63</v>
      </c>
      <c r="C10" s="1" t="s">
        <v>66</v>
      </c>
      <c r="D10" s="1" t="s">
        <v>50</v>
      </c>
      <c r="E10" s="1" t="s">
        <v>67</v>
      </c>
      <c r="F10" s="1" t="s">
        <v>70</v>
      </c>
      <c r="G10" s="26" t="n">
        <v>0.614583333333333</v>
      </c>
      <c r="H10" s="26" t="n">
        <v>0.667361111111111</v>
      </c>
      <c r="I10" s="1" t="n">
        <v>76</v>
      </c>
      <c r="J10" s="1" t="s">
        <v>69</v>
      </c>
      <c r="K10" s="27" t="s">
        <v>54</v>
      </c>
      <c r="L10" s="1" t="str">
        <f aca="false">TEXT(A10,"mmm-yyyy")</f>
        <v>Jun-2026</v>
      </c>
      <c r="M10" s="28" t="n">
        <f aca="false">DATE(YEAR(A10),MONTH(A10),1)</f>
        <v>46174</v>
      </c>
    </row>
    <row r="11" customFormat="false" ht="14.25" hidden="false" customHeight="true" outlineLevel="0" collapsed="false">
      <c r="A11" s="25" t="n">
        <v>46183</v>
      </c>
      <c r="B11" s="1" t="s">
        <v>2</v>
      </c>
      <c r="C11" s="1" t="s">
        <v>71</v>
      </c>
      <c r="D11" s="1" t="s">
        <v>50</v>
      </c>
      <c r="E11" s="1" t="s">
        <v>72</v>
      </c>
      <c r="F11" s="1" t="s">
        <v>58</v>
      </c>
      <c r="G11" s="26" t="n">
        <v>0.5</v>
      </c>
      <c r="H11" s="26" t="n">
        <v>0.535416666666667</v>
      </c>
      <c r="I11" s="1" t="n">
        <v>51</v>
      </c>
      <c r="J11" s="1" t="s">
        <v>61</v>
      </c>
      <c r="K11" s="27" t="s">
        <v>54</v>
      </c>
      <c r="L11" s="1" t="str">
        <f aca="false">TEXT(A11,"mmm-yyyy")</f>
        <v>Jun-2026</v>
      </c>
      <c r="M11" s="28" t="n">
        <f aca="false">DATE(YEAR(A11),MONTH(A11),1)</f>
        <v>46174</v>
      </c>
    </row>
    <row r="12" customFormat="false" ht="14.25" hidden="false" customHeight="true" outlineLevel="0" collapsed="false">
      <c r="A12" s="25" t="n">
        <v>46184</v>
      </c>
      <c r="B12" s="1" t="s">
        <v>2</v>
      </c>
      <c r="C12" s="1" t="s">
        <v>56</v>
      </c>
      <c r="D12" s="1" t="s">
        <v>62</v>
      </c>
      <c r="E12" s="1" t="s">
        <v>57</v>
      </c>
      <c r="F12" s="1" t="s">
        <v>58</v>
      </c>
      <c r="G12" s="26" t="n">
        <v>0.65625</v>
      </c>
      <c r="H12" s="26" t="n">
        <v>0.7</v>
      </c>
      <c r="I12" s="1" t="n">
        <v>63</v>
      </c>
      <c r="J12" s="1" t="s">
        <v>69</v>
      </c>
      <c r="K12" s="27" t="s">
        <v>54</v>
      </c>
      <c r="L12" s="1" t="str">
        <f aca="false">TEXT(A12,"mmm-yyyy")</f>
        <v>Jun-2026</v>
      </c>
      <c r="M12" s="28" t="n">
        <f aca="false">DATE(YEAR(A12),MONTH(A12),1)</f>
        <v>46174</v>
      </c>
    </row>
    <row r="13" customFormat="false" ht="14.25" hidden="false" customHeight="true" outlineLevel="0" collapsed="false">
      <c r="A13" s="25" t="n">
        <v>46185</v>
      </c>
      <c r="B13" s="1" t="s">
        <v>73</v>
      </c>
      <c r="C13" s="1" t="s">
        <v>64</v>
      </c>
      <c r="D13" s="1" t="s">
        <v>50</v>
      </c>
      <c r="E13" s="1" t="s">
        <v>65</v>
      </c>
      <c r="F13" s="1" t="s">
        <v>70</v>
      </c>
      <c r="G13" s="26" t="n">
        <v>0.416666666666667</v>
      </c>
      <c r="H13" s="26" t="n">
        <v>0.454861111111111</v>
      </c>
      <c r="I13" s="1" t="n">
        <v>55</v>
      </c>
      <c r="J13" s="1" t="s">
        <v>69</v>
      </c>
      <c r="K13" s="27" t="s">
        <v>54</v>
      </c>
      <c r="L13" s="1" t="str">
        <f aca="false">TEXT(A13,"mmm-yyyy")</f>
        <v>Jun-2026</v>
      </c>
      <c r="M13" s="28" t="n">
        <f aca="false">DATE(YEAR(A13),MONTH(A13),1)</f>
        <v>46174</v>
      </c>
    </row>
    <row r="14" customFormat="false" ht="14.25" hidden="false" customHeight="true" outlineLevel="0" collapsed="false">
      <c r="A14" s="25" t="n">
        <v>46186</v>
      </c>
      <c r="B14" s="1" t="s">
        <v>55</v>
      </c>
      <c r="C14" s="1" t="s">
        <v>66</v>
      </c>
      <c r="D14" s="1" t="s">
        <v>62</v>
      </c>
      <c r="E14" s="1" t="s">
        <v>67</v>
      </c>
      <c r="F14" s="1" t="s">
        <v>70</v>
      </c>
      <c r="G14" s="26" t="n">
        <v>0.677083333333333</v>
      </c>
      <c r="H14" s="26" t="n">
        <v>0.693055555555556</v>
      </c>
      <c r="I14" s="1" t="n">
        <v>23</v>
      </c>
      <c r="J14" s="1" t="s">
        <v>59</v>
      </c>
      <c r="K14" s="27" t="s">
        <v>54</v>
      </c>
      <c r="L14" s="1" t="str">
        <f aca="false">TEXT(A14,"mmm-yyyy")</f>
        <v>Jun-2026</v>
      </c>
      <c r="M14" s="28" t="n">
        <f aca="false">DATE(YEAR(A14),MONTH(A14),1)</f>
        <v>46174</v>
      </c>
    </row>
    <row r="15" customFormat="false" ht="14.25" hidden="false" customHeight="true" outlineLevel="0" collapsed="false">
      <c r="A15" s="25" t="n">
        <v>46187</v>
      </c>
      <c r="B15" s="1" t="s">
        <v>68</v>
      </c>
      <c r="C15" s="1" t="s">
        <v>49</v>
      </c>
      <c r="D15" s="1" t="s">
        <v>60</v>
      </c>
      <c r="E15" s="1" t="s">
        <v>51</v>
      </c>
      <c r="F15" s="1" t="s">
        <v>70</v>
      </c>
      <c r="G15" s="26" t="n">
        <v>0.385416666666667</v>
      </c>
      <c r="H15" s="26" t="n">
        <v>0.443055555555556</v>
      </c>
      <c r="I15" s="1" t="n">
        <v>83</v>
      </c>
      <c r="J15" s="1" t="s">
        <v>61</v>
      </c>
      <c r="K15" s="27" t="s">
        <v>54</v>
      </c>
      <c r="L15" s="1" t="str">
        <f aca="false">TEXT(A15,"mmm-yyyy")</f>
        <v>Jun-2026</v>
      </c>
      <c r="M15" s="28" t="n">
        <f aca="false">DATE(YEAR(A15),MONTH(A15),1)</f>
        <v>46174</v>
      </c>
    </row>
    <row r="16" customFormat="false" ht="14.25" hidden="false" customHeight="true" outlineLevel="0" collapsed="false">
      <c r="A16" s="25" t="n">
        <v>46188</v>
      </c>
      <c r="B16" s="1" t="s">
        <v>2</v>
      </c>
      <c r="C16" s="1" t="s">
        <v>64</v>
      </c>
      <c r="D16" s="1" t="s">
        <v>50</v>
      </c>
      <c r="E16" s="1" t="s">
        <v>65</v>
      </c>
      <c r="F16" s="1" t="s">
        <v>70</v>
      </c>
      <c r="G16" s="26" t="n">
        <v>0.479166666666667</v>
      </c>
      <c r="H16" s="26" t="n">
        <v>0.559722222222222</v>
      </c>
      <c r="I16" s="1" t="n">
        <v>116</v>
      </c>
      <c r="J16" s="1" t="s">
        <v>53</v>
      </c>
      <c r="K16" s="27" t="s">
        <v>54</v>
      </c>
      <c r="L16" s="1" t="str">
        <f aca="false">TEXT(A16,"mmm-yyyy")</f>
        <v>Jun-2026</v>
      </c>
      <c r="M16" s="28" t="n">
        <f aca="false">DATE(YEAR(A16),MONTH(A16),1)</f>
        <v>46174</v>
      </c>
    </row>
    <row r="17" customFormat="false" ht="14.25" hidden="false" customHeight="true" outlineLevel="0" collapsed="false">
      <c r="A17" s="25" t="n">
        <v>46189</v>
      </c>
      <c r="B17" s="1" t="s">
        <v>68</v>
      </c>
      <c r="C17" s="1" t="s">
        <v>49</v>
      </c>
      <c r="D17" s="1" t="s">
        <v>50</v>
      </c>
      <c r="E17" s="1" t="s">
        <v>51</v>
      </c>
      <c r="F17" s="1" t="s">
        <v>52</v>
      </c>
      <c r="G17" s="26" t="n">
        <v>0.666666666666667</v>
      </c>
      <c r="H17" s="26" t="n">
        <v>0.735416666666667</v>
      </c>
      <c r="I17" s="1" t="n">
        <v>99</v>
      </c>
      <c r="J17" s="1" t="s">
        <v>61</v>
      </c>
      <c r="K17" s="27" t="s">
        <v>54</v>
      </c>
      <c r="L17" s="1" t="str">
        <f aca="false">TEXT(A17,"mmm-yyyy")</f>
        <v>Jun-2026</v>
      </c>
      <c r="M17" s="28" t="n">
        <f aca="false">DATE(YEAR(A17),MONTH(A17),1)</f>
        <v>46174</v>
      </c>
    </row>
    <row r="18" customFormat="false" ht="14.25" hidden="false" customHeight="true" outlineLevel="0" collapsed="false">
      <c r="A18" s="25" t="n">
        <v>46190</v>
      </c>
      <c r="B18" s="1" t="s">
        <v>63</v>
      </c>
      <c r="C18" s="1" t="s">
        <v>66</v>
      </c>
      <c r="D18" s="1" t="s">
        <v>62</v>
      </c>
      <c r="E18" s="1" t="s">
        <v>67</v>
      </c>
      <c r="F18" s="1" t="s">
        <v>58</v>
      </c>
      <c r="G18" s="26" t="n">
        <v>0.489583333333333</v>
      </c>
      <c r="H18" s="26" t="n">
        <v>0.51875</v>
      </c>
      <c r="I18" s="1" t="n">
        <v>42</v>
      </c>
      <c r="J18" s="1" t="s">
        <v>53</v>
      </c>
      <c r="K18" s="27" t="s">
        <v>54</v>
      </c>
      <c r="L18" s="1" t="str">
        <f aca="false">TEXT(A18,"mmm-yyyy")</f>
        <v>Jun-2026</v>
      </c>
      <c r="M18" s="28" t="n">
        <f aca="false">DATE(YEAR(A18),MONTH(A18),1)</f>
        <v>46174</v>
      </c>
    </row>
    <row r="19" customFormat="false" ht="14.25" hidden="false" customHeight="true" outlineLevel="0" collapsed="false">
      <c r="A19" s="25" t="n">
        <v>46191</v>
      </c>
      <c r="B19" s="1" t="s">
        <v>68</v>
      </c>
      <c r="C19" s="1" t="s">
        <v>64</v>
      </c>
      <c r="D19" s="1" t="s">
        <v>50</v>
      </c>
      <c r="E19" s="1" t="s">
        <v>65</v>
      </c>
      <c r="F19" s="1" t="s">
        <v>58</v>
      </c>
      <c r="G19" s="26" t="n">
        <v>0.697916666666667</v>
      </c>
      <c r="H19" s="26" t="n">
        <v>0.725694444444444</v>
      </c>
      <c r="I19" s="1" t="n">
        <v>40</v>
      </c>
      <c r="J19" s="1" t="s">
        <v>69</v>
      </c>
      <c r="K19" s="27" t="s">
        <v>54</v>
      </c>
      <c r="L19" s="1" t="str">
        <f aca="false">TEXT(A19,"mmm-yyyy")</f>
        <v>Jun-2026</v>
      </c>
      <c r="M19" s="28" t="n">
        <f aca="false">DATE(YEAR(A19),MONTH(A19),1)</f>
        <v>46174</v>
      </c>
    </row>
    <row r="20" customFormat="false" ht="14.25" hidden="false" customHeight="true" outlineLevel="0" collapsed="false">
      <c r="A20" s="25" t="n">
        <v>46192</v>
      </c>
      <c r="B20" s="1" t="s">
        <v>63</v>
      </c>
      <c r="C20" s="1" t="s">
        <v>49</v>
      </c>
      <c r="D20" s="1" t="s">
        <v>62</v>
      </c>
      <c r="E20" s="1" t="s">
        <v>51</v>
      </c>
      <c r="F20" s="1" t="s">
        <v>52</v>
      </c>
      <c r="G20" s="26" t="n">
        <v>0.385416666666667</v>
      </c>
      <c r="H20" s="26" t="n">
        <v>0.461805555555556</v>
      </c>
      <c r="I20" s="1" t="n">
        <v>110</v>
      </c>
      <c r="J20" s="1" t="s">
        <v>61</v>
      </c>
      <c r="K20" s="27" t="s">
        <v>54</v>
      </c>
      <c r="L20" s="1" t="str">
        <f aca="false">TEXT(A20,"mmm-yyyy")</f>
        <v>Jun-2026</v>
      </c>
      <c r="M20" s="28" t="n">
        <f aca="false">DATE(YEAR(A20),MONTH(A20),1)</f>
        <v>46174</v>
      </c>
    </row>
    <row r="21" customFormat="false" ht="14.25" hidden="false" customHeight="true" outlineLevel="0" collapsed="false">
      <c r="A21" s="25" t="n">
        <v>46193</v>
      </c>
      <c r="B21" s="1" t="s">
        <v>63</v>
      </c>
      <c r="C21" s="1" t="s">
        <v>49</v>
      </c>
      <c r="D21" s="1" t="s">
        <v>60</v>
      </c>
      <c r="E21" s="1" t="s">
        <v>51</v>
      </c>
      <c r="F21" s="1" t="s">
        <v>70</v>
      </c>
      <c r="G21" s="26" t="n">
        <v>0.614583333333333</v>
      </c>
      <c r="H21" s="26" t="n">
        <v>0.644444444444445</v>
      </c>
      <c r="I21" s="1" t="n">
        <v>43</v>
      </c>
      <c r="J21" s="1" t="s">
        <v>59</v>
      </c>
      <c r="K21" s="27" t="s">
        <v>54</v>
      </c>
      <c r="L21" s="1" t="str">
        <f aca="false">TEXT(A21,"mmm-yyyy")</f>
        <v>Jun-2026</v>
      </c>
      <c r="M21" s="28" t="n">
        <f aca="false">DATE(YEAR(A21),MONTH(A21),1)</f>
        <v>46174</v>
      </c>
    </row>
    <row r="22" customFormat="false" ht="14.25" hidden="false" customHeight="true" outlineLevel="0" collapsed="false">
      <c r="A22" s="25" t="n">
        <v>46194</v>
      </c>
      <c r="B22" s="1" t="s">
        <v>2</v>
      </c>
      <c r="C22" s="1" t="s">
        <v>56</v>
      </c>
      <c r="D22" s="1" t="s">
        <v>50</v>
      </c>
      <c r="E22" s="1" t="s">
        <v>57</v>
      </c>
      <c r="F22" s="1" t="s">
        <v>58</v>
      </c>
      <c r="G22" s="26" t="n">
        <v>0.375</v>
      </c>
      <c r="H22" s="26" t="n">
        <v>0.424305555555556</v>
      </c>
      <c r="I22" s="1" t="n">
        <v>71</v>
      </c>
      <c r="J22" s="1" t="s">
        <v>53</v>
      </c>
      <c r="K22" s="27" t="s">
        <v>54</v>
      </c>
      <c r="L22" s="1" t="str">
        <f aca="false">TEXT(A22,"mmm-yyyy")</f>
        <v>Jun-2026</v>
      </c>
      <c r="M22" s="28" t="n">
        <f aca="false">DATE(YEAR(A22),MONTH(A22),1)</f>
        <v>46174</v>
      </c>
    </row>
    <row r="23" customFormat="false" ht="14.25" hidden="false" customHeight="true" outlineLevel="0" collapsed="false">
      <c r="A23" s="25" t="n">
        <v>46195</v>
      </c>
      <c r="B23" s="1" t="s">
        <v>73</v>
      </c>
      <c r="C23" s="1" t="s">
        <v>64</v>
      </c>
      <c r="D23" s="1" t="s">
        <v>50</v>
      </c>
      <c r="E23" s="1" t="s">
        <v>65</v>
      </c>
      <c r="F23" s="1" t="s">
        <v>70</v>
      </c>
      <c r="G23" s="26" t="n">
        <v>0.4375</v>
      </c>
      <c r="H23" s="26" t="n">
        <v>0.475694444444444</v>
      </c>
      <c r="I23" s="1" t="n">
        <v>55</v>
      </c>
      <c r="J23" s="1" t="s">
        <v>61</v>
      </c>
      <c r="K23" s="27" t="s">
        <v>54</v>
      </c>
      <c r="L23" s="1" t="str">
        <f aca="false">TEXT(A23,"mmm-yyyy")</f>
        <v>Jun-2026</v>
      </c>
      <c r="M23" s="28" t="n">
        <f aca="false">DATE(YEAR(A23),MONTH(A23),1)</f>
        <v>46174</v>
      </c>
    </row>
    <row r="24" customFormat="false" ht="14.25" hidden="false" customHeight="true" outlineLevel="0" collapsed="false">
      <c r="A24" s="25" t="n">
        <v>46196</v>
      </c>
      <c r="B24" s="1" t="s">
        <v>2</v>
      </c>
      <c r="C24" s="1" t="s">
        <v>66</v>
      </c>
      <c r="D24" s="1" t="s">
        <v>60</v>
      </c>
      <c r="E24" s="1" t="s">
        <v>67</v>
      </c>
      <c r="F24" s="1" t="s">
        <v>52</v>
      </c>
      <c r="G24" s="26" t="n">
        <v>0.520833333333333</v>
      </c>
      <c r="H24" s="26" t="n">
        <v>0.555555555555556</v>
      </c>
      <c r="I24" s="1" t="n">
        <v>50</v>
      </c>
      <c r="J24" s="1" t="s">
        <v>53</v>
      </c>
      <c r="K24" s="27" t="s">
        <v>54</v>
      </c>
      <c r="L24" s="1" t="str">
        <f aca="false">TEXT(A24,"mmm-yyyy")</f>
        <v>Jun-2026</v>
      </c>
      <c r="M24" s="28" t="n">
        <f aca="false">DATE(YEAR(A24),MONTH(A24),1)</f>
        <v>46174</v>
      </c>
    </row>
    <row r="25" customFormat="false" ht="14.25" hidden="false" customHeight="true" outlineLevel="0" collapsed="false">
      <c r="A25" s="25" t="n">
        <v>46197</v>
      </c>
      <c r="B25" s="1" t="s">
        <v>2</v>
      </c>
      <c r="C25" s="1" t="s">
        <v>49</v>
      </c>
      <c r="D25" s="1" t="s">
        <v>50</v>
      </c>
      <c r="E25" s="1" t="s">
        <v>51</v>
      </c>
      <c r="F25" s="1" t="s">
        <v>52</v>
      </c>
      <c r="G25" s="26" t="n">
        <v>0.604166666666667</v>
      </c>
      <c r="H25" s="26" t="n">
        <v>0.679861111111111</v>
      </c>
      <c r="I25" s="1" t="n">
        <v>109</v>
      </c>
      <c r="J25" s="1" t="s">
        <v>69</v>
      </c>
      <c r="K25" s="27" t="s">
        <v>54</v>
      </c>
      <c r="L25" s="1" t="str">
        <f aca="false">TEXT(A25,"mmm-yyyy")</f>
        <v>Jun-2026</v>
      </c>
      <c r="M25" s="28" t="n">
        <f aca="false">DATE(YEAR(A25),MONTH(A25),1)</f>
        <v>46174</v>
      </c>
    </row>
    <row r="26" customFormat="false" ht="14.25" hidden="false" customHeight="true" outlineLevel="0" collapsed="false">
      <c r="A26" s="25" t="n">
        <v>46198</v>
      </c>
      <c r="B26" s="1" t="s">
        <v>63</v>
      </c>
      <c r="C26" s="1" t="s">
        <v>66</v>
      </c>
      <c r="D26" s="1" t="s">
        <v>50</v>
      </c>
      <c r="E26" s="1" t="s">
        <v>67</v>
      </c>
      <c r="F26" s="1" t="s">
        <v>58</v>
      </c>
      <c r="G26" s="26" t="n">
        <v>0.395833333333333</v>
      </c>
      <c r="H26" s="26" t="n">
        <v>0.418055555555556</v>
      </c>
      <c r="I26" s="1" t="n">
        <v>32</v>
      </c>
      <c r="J26" s="1" t="s">
        <v>53</v>
      </c>
      <c r="K26" s="27" t="s">
        <v>54</v>
      </c>
      <c r="L26" s="1" t="str">
        <f aca="false">TEXT(A26,"mmm-yyyy")</f>
        <v>Jun-2026</v>
      </c>
      <c r="M26" s="28" t="n">
        <f aca="false">DATE(YEAR(A26),MONTH(A26),1)</f>
        <v>46174</v>
      </c>
    </row>
    <row r="27" customFormat="false" ht="14.25" hidden="false" customHeight="true" outlineLevel="0" collapsed="false">
      <c r="A27" s="25" t="n">
        <v>46199</v>
      </c>
      <c r="B27" s="1" t="s">
        <v>68</v>
      </c>
      <c r="C27" s="1" t="s">
        <v>49</v>
      </c>
      <c r="D27" s="1" t="s">
        <v>50</v>
      </c>
      <c r="E27" s="1" t="s">
        <v>51</v>
      </c>
      <c r="F27" s="1" t="s">
        <v>70</v>
      </c>
      <c r="G27" s="26" t="n">
        <v>0.552083333333333</v>
      </c>
      <c r="H27" s="26" t="n">
        <v>0.613194444444445</v>
      </c>
      <c r="I27" s="1" t="n">
        <v>88</v>
      </c>
      <c r="J27" s="1" t="s">
        <v>53</v>
      </c>
      <c r="K27" s="27" t="s">
        <v>54</v>
      </c>
      <c r="L27" s="1" t="str">
        <f aca="false">TEXT(A27,"mmm-yyyy")</f>
        <v>Jun-2026</v>
      </c>
      <c r="M27" s="28" t="n">
        <f aca="false">DATE(YEAR(A27),MONTH(A27),1)</f>
        <v>46174</v>
      </c>
    </row>
    <row r="28" customFormat="false" ht="14.25" hidden="false" customHeight="true" outlineLevel="0" collapsed="false">
      <c r="A28" s="25" t="n">
        <v>46200</v>
      </c>
      <c r="B28" s="1" t="s">
        <v>73</v>
      </c>
      <c r="C28" s="1" t="s">
        <v>56</v>
      </c>
      <c r="D28" s="1" t="s">
        <v>50</v>
      </c>
      <c r="E28" s="1" t="s">
        <v>57</v>
      </c>
      <c r="F28" s="1" t="s">
        <v>52</v>
      </c>
      <c r="G28" s="26" t="n">
        <v>0.552083333333333</v>
      </c>
      <c r="H28" s="26" t="n">
        <v>0.579166666666667</v>
      </c>
      <c r="I28" s="1" t="n">
        <v>39</v>
      </c>
      <c r="J28" s="1" t="s">
        <v>61</v>
      </c>
      <c r="K28" s="27" t="s">
        <v>54</v>
      </c>
      <c r="L28" s="1" t="str">
        <f aca="false">TEXT(A28,"mmm-yyyy")</f>
        <v>Jun-2026</v>
      </c>
      <c r="M28" s="28" t="n">
        <f aca="false">DATE(YEAR(A28),MONTH(A28),1)</f>
        <v>46174</v>
      </c>
    </row>
    <row r="29" customFormat="false" ht="14.25" hidden="false" customHeight="true" outlineLevel="0" collapsed="false">
      <c r="A29" s="25" t="n">
        <v>46201</v>
      </c>
      <c r="B29" s="1" t="s">
        <v>73</v>
      </c>
      <c r="C29" s="1" t="s">
        <v>71</v>
      </c>
      <c r="D29" s="1" t="s">
        <v>62</v>
      </c>
      <c r="E29" s="1" t="s">
        <v>72</v>
      </c>
      <c r="F29" s="1" t="s">
        <v>70</v>
      </c>
      <c r="G29" s="26" t="n">
        <v>0.59375</v>
      </c>
      <c r="H29" s="26" t="n">
        <v>0.629166666666667</v>
      </c>
      <c r="I29" s="1" t="n">
        <v>51</v>
      </c>
      <c r="J29" s="1" t="s">
        <v>61</v>
      </c>
      <c r="K29" s="27" t="s">
        <v>54</v>
      </c>
      <c r="L29" s="1" t="str">
        <f aca="false">TEXT(A29,"mmm-yyyy")</f>
        <v>Jun-2026</v>
      </c>
      <c r="M29" s="28" t="n">
        <f aca="false">DATE(YEAR(A29),MONTH(A29),1)</f>
        <v>46174</v>
      </c>
    </row>
    <row r="30" customFormat="false" ht="14.25" hidden="false" customHeight="true" outlineLevel="0" collapsed="false">
      <c r="A30" s="25" t="n">
        <v>46202</v>
      </c>
      <c r="B30" s="1" t="s">
        <v>2</v>
      </c>
      <c r="C30" s="1" t="s">
        <v>64</v>
      </c>
      <c r="D30" s="1" t="s">
        <v>60</v>
      </c>
      <c r="E30" s="1" t="s">
        <v>65</v>
      </c>
      <c r="F30" s="1" t="s">
        <v>58</v>
      </c>
      <c r="G30" s="26" t="n">
        <v>0.489583333333333</v>
      </c>
      <c r="H30" s="26" t="n">
        <v>0.570138888888889</v>
      </c>
      <c r="I30" s="1" t="n">
        <v>116</v>
      </c>
      <c r="J30" s="1" t="s">
        <v>53</v>
      </c>
      <c r="K30" s="27" t="s">
        <v>54</v>
      </c>
      <c r="L30" s="1" t="str">
        <f aca="false">TEXT(A30,"mmm-yyyy")</f>
        <v>Jun-2026</v>
      </c>
      <c r="M30" s="28" t="n">
        <f aca="false">DATE(YEAR(A30),MONTH(A30),1)</f>
        <v>46174</v>
      </c>
    </row>
    <row r="31" customFormat="false" ht="14.25" hidden="false" customHeight="true" outlineLevel="0" collapsed="false">
      <c r="A31" s="25" t="n">
        <v>46203</v>
      </c>
      <c r="B31" s="1" t="s">
        <v>63</v>
      </c>
      <c r="C31" s="1" t="s">
        <v>64</v>
      </c>
      <c r="D31" s="1" t="s">
        <v>50</v>
      </c>
      <c r="E31" s="1" t="s">
        <v>65</v>
      </c>
      <c r="F31" s="1" t="s">
        <v>58</v>
      </c>
      <c r="G31" s="26" t="n">
        <v>0.489583333333333</v>
      </c>
      <c r="H31" s="26" t="n">
        <v>0.504166666666667</v>
      </c>
      <c r="I31" s="1" t="n">
        <v>21</v>
      </c>
      <c r="J31" s="1" t="s">
        <v>61</v>
      </c>
      <c r="K31" s="27" t="s">
        <v>54</v>
      </c>
      <c r="L31" s="1" t="str">
        <f aca="false">TEXT(A31,"mmm-yyyy")</f>
        <v>Jun-2026</v>
      </c>
      <c r="M31" s="28" t="n">
        <f aca="false">DATE(YEAR(A31),MONTH(A31),1)</f>
        <v>46174</v>
      </c>
    </row>
    <row r="32" customFormat="false" ht="14.25" hidden="false" customHeight="true" outlineLevel="0" collapsed="false">
      <c r="A32" s="25" t="n">
        <v>46174</v>
      </c>
      <c r="B32" s="1" t="s">
        <v>2</v>
      </c>
      <c r="C32" s="1" t="s">
        <v>71</v>
      </c>
      <c r="D32" s="1" t="s">
        <v>62</v>
      </c>
      <c r="E32" s="1" t="s">
        <v>72</v>
      </c>
      <c r="F32" s="1" t="s">
        <v>70</v>
      </c>
      <c r="G32" s="26" t="n">
        <v>0.40625</v>
      </c>
      <c r="H32" s="26" t="n">
        <v>0.438194444444444</v>
      </c>
      <c r="I32" s="1" t="n">
        <v>46</v>
      </c>
      <c r="J32" s="1" t="s">
        <v>69</v>
      </c>
      <c r="K32" s="27" t="s">
        <v>54</v>
      </c>
      <c r="L32" s="1" t="str">
        <f aca="false">TEXT(A32,"mmm-yyyy")</f>
        <v>Jun-2026</v>
      </c>
      <c r="M32" s="28" t="n">
        <f aca="false">DATE(YEAR(A32),MONTH(A32),1)</f>
        <v>46174</v>
      </c>
    </row>
    <row r="33" customFormat="false" ht="14.25" hidden="false" customHeight="true" outlineLevel="0" collapsed="false">
      <c r="A33" s="25" t="n">
        <v>46175</v>
      </c>
      <c r="B33" s="1" t="s">
        <v>55</v>
      </c>
      <c r="C33" s="1" t="s">
        <v>64</v>
      </c>
      <c r="D33" s="1" t="s">
        <v>50</v>
      </c>
      <c r="E33" s="1" t="s">
        <v>65</v>
      </c>
      <c r="F33" s="1" t="s">
        <v>58</v>
      </c>
      <c r="G33" s="26" t="n">
        <v>0.614583333333333</v>
      </c>
      <c r="H33" s="26" t="n">
        <v>0.660416666666667</v>
      </c>
      <c r="I33" s="1" t="n">
        <v>66</v>
      </c>
      <c r="J33" s="1" t="s">
        <v>59</v>
      </c>
      <c r="K33" s="27" t="s">
        <v>54</v>
      </c>
      <c r="L33" s="1" t="str">
        <f aca="false">TEXT(A33,"mmm-yyyy")</f>
        <v>Jun-2026</v>
      </c>
      <c r="M33" s="28" t="n">
        <f aca="false">DATE(YEAR(A33),MONTH(A33),1)</f>
        <v>46174</v>
      </c>
    </row>
    <row r="34" customFormat="false" ht="14.25" hidden="false" customHeight="true" outlineLevel="0" collapsed="false">
      <c r="A34" s="25" t="n">
        <v>46176</v>
      </c>
      <c r="B34" s="1" t="s">
        <v>63</v>
      </c>
      <c r="C34" s="1" t="s">
        <v>66</v>
      </c>
      <c r="D34" s="1" t="s">
        <v>74</v>
      </c>
      <c r="E34" s="1" t="s">
        <v>67</v>
      </c>
      <c r="F34" s="1" t="s">
        <v>70</v>
      </c>
      <c r="G34" s="26" t="n">
        <v>0.520833333333333</v>
      </c>
      <c r="H34" s="26" t="n">
        <v>0.577777777777778</v>
      </c>
      <c r="I34" s="1" t="n">
        <v>82</v>
      </c>
      <c r="J34" s="1" t="s">
        <v>59</v>
      </c>
      <c r="K34" s="27" t="s">
        <v>54</v>
      </c>
      <c r="L34" s="1" t="str">
        <f aca="false">TEXT(A34,"mmm-yyyy")</f>
        <v>Jun-2026</v>
      </c>
      <c r="M34" s="28" t="n">
        <f aca="false">DATE(YEAR(A34),MONTH(A34),1)</f>
        <v>46174</v>
      </c>
    </row>
    <row r="35" customFormat="false" ht="14.25" hidden="false" customHeight="true" outlineLevel="0" collapsed="false">
      <c r="A35" s="25" t="n">
        <v>46177</v>
      </c>
      <c r="B35" s="1" t="s">
        <v>63</v>
      </c>
      <c r="C35" s="1" t="s">
        <v>49</v>
      </c>
      <c r="D35" s="1" t="s">
        <v>60</v>
      </c>
      <c r="E35" s="1" t="s">
        <v>51</v>
      </c>
      <c r="F35" s="1" t="s">
        <v>70</v>
      </c>
      <c r="G35" s="26" t="n">
        <v>0.697916666666667</v>
      </c>
      <c r="H35" s="26" t="n">
        <v>0.750694444444444</v>
      </c>
      <c r="I35" s="1" t="n">
        <v>76</v>
      </c>
      <c r="J35" s="1" t="s">
        <v>69</v>
      </c>
      <c r="K35" s="27" t="s">
        <v>54</v>
      </c>
      <c r="L35" s="1" t="str">
        <f aca="false">TEXT(A35,"mmm-yyyy")</f>
        <v>Jun-2026</v>
      </c>
      <c r="M35" s="28" t="n">
        <f aca="false">DATE(YEAR(A35),MONTH(A35),1)</f>
        <v>46174</v>
      </c>
    </row>
    <row r="36" customFormat="false" ht="14.25" hidden="false" customHeight="true" outlineLevel="0" collapsed="false">
      <c r="A36" s="25" t="n">
        <v>46178</v>
      </c>
      <c r="B36" s="1" t="s">
        <v>63</v>
      </c>
      <c r="C36" s="1" t="s">
        <v>64</v>
      </c>
      <c r="D36" s="1" t="s">
        <v>62</v>
      </c>
      <c r="E36" s="1" t="s">
        <v>65</v>
      </c>
      <c r="F36" s="1" t="s">
        <v>58</v>
      </c>
      <c r="G36" s="26" t="n">
        <v>0.395833333333333</v>
      </c>
      <c r="H36" s="26" t="n">
        <v>0.429861111111111</v>
      </c>
      <c r="I36" s="1" t="n">
        <v>49</v>
      </c>
      <c r="J36" s="1" t="s">
        <v>59</v>
      </c>
      <c r="K36" s="27" t="s">
        <v>54</v>
      </c>
      <c r="L36" s="1" t="str">
        <f aca="false">TEXT(A36,"mmm-yyyy")</f>
        <v>Jun-2026</v>
      </c>
      <c r="M36" s="28" t="n">
        <f aca="false">DATE(YEAR(A36),MONTH(A36),1)</f>
        <v>46174</v>
      </c>
    </row>
    <row r="37" customFormat="false" ht="14.25" hidden="false" customHeight="true" outlineLevel="0" collapsed="false">
      <c r="A37" s="25" t="n">
        <v>46179</v>
      </c>
      <c r="B37" s="1" t="s">
        <v>73</v>
      </c>
      <c r="C37" s="1" t="s">
        <v>71</v>
      </c>
      <c r="D37" s="1" t="s">
        <v>74</v>
      </c>
      <c r="E37" s="1" t="s">
        <v>72</v>
      </c>
      <c r="F37" s="1" t="s">
        <v>52</v>
      </c>
      <c r="G37" s="26" t="n">
        <v>0.583333333333333</v>
      </c>
      <c r="H37" s="26" t="n">
        <v>0.6125</v>
      </c>
      <c r="I37" s="1" t="n">
        <v>42</v>
      </c>
      <c r="J37" s="1" t="s">
        <v>59</v>
      </c>
      <c r="K37" s="27" t="s">
        <v>54</v>
      </c>
      <c r="L37" s="1" t="str">
        <f aca="false">TEXT(A37,"mmm-yyyy")</f>
        <v>Jun-2026</v>
      </c>
      <c r="M37" s="28" t="n">
        <f aca="false">DATE(YEAR(A37),MONTH(A37),1)</f>
        <v>46174</v>
      </c>
    </row>
    <row r="38" customFormat="false" ht="14.25" hidden="false" customHeight="true" outlineLevel="0" collapsed="false">
      <c r="A38" s="25" t="n">
        <v>46180</v>
      </c>
      <c r="B38" s="1" t="s">
        <v>68</v>
      </c>
      <c r="C38" s="1" t="s">
        <v>49</v>
      </c>
      <c r="D38" s="1" t="s">
        <v>60</v>
      </c>
      <c r="E38" s="1" t="s">
        <v>51</v>
      </c>
      <c r="F38" s="1" t="s">
        <v>52</v>
      </c>
      <c r="G38" s="26" t="n">
        <v>0.489583333333333</v>
      </c>
      <c r="H38" s="26" t="n">
        <v>0.552083333333333</v>
      </c>
      <c r="I38" s="1" t="n">
        <v>90</v>
      </c>
      <c r="J38" s="1" t="s">
        <v>53</v>
      </c>
      <c r="K38" s="27" t="s">
        <v>54</v>
      </c>
      <c r="L38" s="1" t="str">
        <f aca="false">TEXT(A38,"mmm-yyyy")</f>
        <v>Jun-2026</v>
      </c>
      <c r="M38" s="28" t="n">
        <f aca="false">DATE(YEAR(A38),MONTH(A38),1)</f>
        <v>46174</v>
      </c>
    </row>
    <row r="39" customFormat="false" ht="14.25" hidden="false" customHeight="true" outlineLevel="0" collapsed="false">
      <c r="A39" s="25" t="n">
        <v>46181</v>
      </c>
      <c r="B39" s="1" t="s">
        <v>63</v>
      </c>
      <c r="C39" s="1" t="s">
        <v>64</v>
      </c>
      <c r="D39" s="1" t="s">
        <v>62</v>
      </c>
      <c r="E39" s="1" t="s">
        <v>65</v>
      </c>
      <c r="F39" s="1" t="s">
        <v>70</v>
      </c>
      <c r="G39" s="26" t="n">
        <v>0.46875</v>
      </c>
      <c r="H39" s="26" t="n">
        <v>0.492361111111111</v>
      </c>
      <c r="I39" s="1" t="n">
        <v>34</v>
      </c>
      <c r="J39" s="1" t="s">
        <v>59</v>
      </c>
      <c r="K39" s="27" t="s">
        <v>54</v>
      </c>
      <c r="L39" s="1" t="str">
        <f aca="false">TEXT(A39,"mmm-yyyy")</f>
        <v>Jun-2026</v>
      </c>
      <c r="M39" s="28" t="n">
        <f aca="false">DATE(YEAR(A39),MONTH(A39),1)</f>
        <v>46174</v>
      </c>
    </row>
    <row r="40" customFormat="false" ht="14.25" hidden="false" customHeight="true" outlineLevel="0" collapsed="false">
      <c r="A40" s="25" t="n">
        <v>46182</v>
      </c>
      <c r="B40" s="1" t="s">
        <v>73</v>
      </c>
      <c r="C40" s="1" t="s">
        <v>49</v>
      </c>
      <c r="D40" s="1" t="s">
        <v>74</v>
      </c>
      <c r="E40" s="1" t="s">
        <v>51</v>
      </c>
      <c r="F40" s="1" t="s">
        <v>58</v>
      </c>
      <c r="G40" s="26" t="n">
        <v>0.510416666666667</v>
      </c>
      <c r="H40" s="26" t="n">
        <v>0.572916666666667</v>
      </c>
      <c r="I40" s="1" t="n">
        <v>90</v>
      </c>
      <c r="J40" s="1" t="s">
        <v>69</v>
      </c>
      <c r="K40" s="27" t="s">
        <v>54</v>
      </c>
      <c r="L40" s="1" t="str">
        <f aca="false">TEXT(A40,"mmm-yyyy")</f>
        <v>Jun-2026</v>
      </c>
      <c r="M40" s="28" t="n">
        <f aca="false">DATE(YEAR(A40),MONTH(A40),1)</f>
        <v>46174</v>
      </c>
    </row>
    <row r="41" customFormat="false" ht="14.25" hidden="false" customHeight="true" outlineLevel="0" collapsed="false">
      <c r="A41" s="25" t="n">
        <v>46183</v>
      </c>
      <c r="B41" s="1" t="s">
        <v>55</v>
      </c>
      <c r="C41" s="1" t="s">
        <v>56</v>
      </c>
      <c r="D41" s="1" t="s">
        <v>60</v>
      </c>
      <c r="E41" s="1" t="s">
        <v>57</v>
      </c>
      <c r="F41" s="1" t="s">
        <v>58</v>
      </c>
      <c r="G41" s="26" t="n">
        <v>0.395833333333333</v>
      </c>
      <c r="H41" s="26" t="n">
        <v>0.478472222222222</v>
      </c>
      <c r="I41" s="1" t="n">
        <v>119</v>
      </c>
      <c r="J41" s="1" t="s">
        <v>59</v>
      </c>
      <c r="K41" s="27" t="s">
        <v>54</v>
      </c>
      <c r="L41" s="1" t="str">
        <f aca="false">TEXT(A41,"mmm-yyyy")</f>
        <v>Jun-2026</v>
      </c>
      <c r="M41" s="28" t="n">
        <f aca="false">DATE(YEAR(A41),MONTH(A41),1)</f>
        <v>46174</v>
      </c>
    </row>
    <row r="42" customFormat="false" ht="14.25" hidden="false" customHeight="true" outlineLevel="0" collapsed="false">
      <c r="A42" s="25" t="n">
        <v>46184</v>
      </c>
      <c r="B42" s="1" t="s">
        <v>55</v>
      </c>
      <c r="C42" s="1" t="s">
        <v>66</v>
      </c>
      <c r="D42" s="1" t="s">
        <v>50</v>
      </c>
      <c r="E42" s="1" t="s">
        <v>67</v>
      </c>
      <c r="F42" s="1" t="s">
        <v>52</v>
      </c>
      <c r="G42" s="26" t="n">
        <v>0.583333333333333</v>
      </c>
      <c r="H42" s="26" t="n">
        <v>0.642361111111111</v>
      </c>
      <c r="I42" s="1" t="n">
        <v>85</v>
      </c>
      <c r="J42" s="1" t="s">
        <v>59</v>
      </c>
      <c r="K42" s="27" t="s">
        <v>54</v>
      </c>
      <c r="L42" s="1" t="str">
        <f aca="false">TEXT(A42,"mmm-yyyy")</f>
        <v>Jun-2026</v>
      </c>
      <c r="M42" s="28" t="n">
        <f aca="false">DATE(YEAR(A42),MONTH(A42),1)</f>
        <v>46174</v>
      </c>
    </row>
    <row r="43" customFormat="false" ht="14.25" hidden="false" customHeight="true" outlineLevel="0" collapsed="false">
      <c r="A43" s="25" t="n">
        <v>46185</v>
      </c>
      <c r="B43" s="1" t="s">
        <v>63</v>
      </c>
      <c r="C43" s="1" t="s">
        <v>66</v>
      </c>
      <c r="D43" s="1" t="s">
        <v>74</v>
      </c>
      <c r="E43" s="1" t="s">
        <v>67</v>
      </c>
      <c r="F43" s="1" t="s">
        <v>70</v>
      </c>
      <c r="G43" s="26" t="n">
        <v>0.40625</v>
      </c>
      <c r="H43" s="26" t="n">
        <v>0.426388888888889</v>
      </c>
      <c r="I43" s="1" t="n">
        <v>29</v>
      </c>
      <c r="J43" s="1" t="s">
        <v>53</v>
      </c>
      <c r="K43" s="27" t="s">
        <v>54</v>
      </c>
      <c r="L43" s="1" t="str">
        <f aca="false">TEXT(A43,"mmm-yyyy")</f>
        <v>Jun-2026</v>
      </c>
      <c r="M43" s="28" t="n">
        <f aca="false">DATE(YEAR(A43),MONTH(A43),1)</f>
        <v>46174</v>
      </c>
    </row>
    <row r="44" customFormat="false" ht="14.25" hidden="false" customHeight="true" outlineLevel="0" collapsed="false">
      <c r="A44" s="25" t="n">
        <v>46186</v>
      </c>
      <c r="B44" s="1" t="s">
        <v>55</v>
      </c>
      <c r="C44" s="1" t="s">
        <v>49</v>
      </c>
      <c r="D44" s="1" t="s">
        <v>62</v>
      </c>
      <c r="E44" s="1" t="s">
        <v>51</v>
      </c>
      <c r="F44" s="1" t="s">
        <v>52</v>
      </c>
      <c r="G44" s="26" t="n">
        <v>0.6875</v>
      </c>
      <c r="H44" s="26" t="n">
        <v>0.702777777777778</v>
      </c>
      <c r="I44" s="1" t="n">
        <v>22</v>
      </c>
      <c r="J44" s="1" t="s">
        <v>61</v>
      </c>
      <c r="K44" s="27" t="s">
        <v>54</v>
      </c>
      <c r="L44" s="1" t="str">
        <f aca="false">TEXT(A44,"mmm-yyyy")</f>
        <v>Jun-2026</v>
      </c>
      <c r="M44" s="28" t="n">
        <f aca="false">DATE(YEAR(A44),MONTH(A44),1)</f>
        <v>46174</v>
      </c>
    </row>
    <row r="45" customFormat="false" ht="14.25" hidden="false" customHeight="true" outlineLevel="0" collapsed="false">
      <c r="A45" s="25" t="n">
        <v>46187</v>
      </c>
      <c r="B45" s="1" t="s">
        <v>55</v>
      </c>
      <c r="C45" s="1" t="s">
        <v>49</v>
      </c>
      <c r="D45" s="1" t="s">
        <v>50</v>
      </c>
      <c r="E45" s="1" t="s">
        <v>51</v>
      </c>
      <c r="F45" s="1" t="s">
        <v>52</v>
      </c>
      <c r="G45" s="26" t="n">
        <v>0.520833333333333</v>
      </c>
      <c r="H45" s="26" t="n">
        <v>0.559027777777778</v>
      </c>
      <c r="I45" s="1" t="n">
        <v>55</v>
      </c>
      <c r="J45" s="1" t="s">
        <v>53</v>
      </c>
      <c r="K45" s="27" t="s">
        <v>54</v>
      </c>
      <c r="L45" s="1" t="str">
        <f aca="false">TEXT(A45,"mmm-yyyy")</f>
        <v>Jun-2026</v>
      </c>
      <c r="M45" s="28" t="n">
        <f aca="false">DATE(YEAR(A45),MONTH(A45),1)</f>
        <v>46174</v>
      </c>
    </row>
    <row r="46" customFormat="false" ht="14.25" hidden="false" customHeight="true" outlineLevel="0" collapsed="false">
      <c r="A46" s="25" t="n">
        <v>46188</v>
      </c>
      <c r="B46" s="1" t="s">
        <v>2</v>
      </c>
      <c r="C46" s="1" t="s">
        <v>66</v>
      </c>
      <c r="D46" s="1" t="s">
        <v>60</v>
      </c>
      <c r="E46" s="1" t="s">
        <v>67</v>
      </c>
      <c r="F46" s="1" t="s">
        <v>58</v>
      </c>
      <c r="G46" s="26" t="n">
        <v>0.458333333333333</v>
      </c>
      <c r="H46" s="26" t="n">
        <v>0.521527777777778</v>
      </c>
      <c r="I46" s="1" t="n">
        <v>91</v>
      </c>
      <c r="J46" s="1" t="s">
        <v>59</v>
      </c>
      <c r="K46" s="27" t="s">
        <v>54</v>
      </c>
      <c r="L46" s="1" t="str">
        <f aca="false">TEXT(A46,"mmm-yyyy")</f>
        <v>Jun-2026</v>
      </c>
      <c r="M46" s="28" t="n">
        <f aca="false">DATE(YEAR(A46),MONTH(A46),1)</f>
        <v>46174</v>
      </c>
    </row>
    <row r="47" customFormat="false" ht="14.25" hidden="false" customHeight="true" outlineLevel="0" collapsed="false">
      <c r="A47" s="25" t="n">
        <v>46189</v>
      </c>
      <c r="B47" s="1" t="s">
        <v>55</v>
      </c>
      <c r="C47" s="1" t="s">
        <v>49</v>
      </c>
      <c r="D47" s="1" t="s">
        <v>60</v>
      </c>
      <c r="E47" s="1" t="s">
        <v>51</v>
      </c>
      <c r="F47" s="1" t="s">
        <v>58</v>
      </c>
      <c r="G47" s="26" t="n">
        <v>0.510416666666667</v>
      </c>
      <c r="H47" s="26" t="n">
        <v>0.540277777777778</v>
      </c>
      <c r="I47" s="1" t="n">
        <v>43</v>
      </c>
      <c r="J47" s="1" t="s">
        <v>59</v>
      </c>
      <c r="K47" s="27" t="s">
        <v>54</v>
      </c>
      <c r="L47" s="1" t="str">
        <f aca="false">TEXT(A47,"mmm-yyyy")</f>
        <v>Jun-2026</v>
      </c>
      <c r="M47" s="28" t="n">
        <f aca="false">DATE(YEAR(A47),MONTH(A47),1)</f>
        <v>46174</v>
      </c>
    </row>
    <row r="48" customFormat="false" ht="14.25" hidden="false" customHeight="true" outlineLevel="0" collapsed="false">
      <c r="A48" s="25" t="n">
        <v>46190</v>
      </c>
      <c r="B48" s="1" t="s">
        <v>73</v>
      </c>
      <c r="C48" s="1" t="s">
        <v>71</v>
      </c>
      <c r="D48" s="1" t="s">
        <v>62</v>
      </c>
      <c r="E48" s="1" t="s">
        <v>72</v>
      </c>
      <c r="F48" s="1" t="s">
        <v>52</v>
      </c>
      <c r="G48" s="26" t="n">
        <v>0.46875</v>
      </c>
      <c r="H48" s="26" t="n">
        <v>0.490277777777778</v>
      </c>
      <c r="I48" s="1" t="n">
        <v>31</v>
      </c>
      <c r="J48" s="1" t="s">
        <v>53</v>
      </c>
      <c r="K48" s="27" t="s">
        <v>54</v>
      </c>
      <c r="L48" s="1" t="str">
        <f aca="false">TEXT(A48,"mmm-yyyy")</f>
        <v>Jun-2026</v>
      </c>
      <c r="M48" s="28" t="n">
        <f aca="false">DATE(YEAR(A48),MONTH(A48),1)</f>
        <v>46174</v>
      </c>
    </row>
    <row r="49" customFormat="false" ht="14.25" hidden="false" customHeight="true" outlineLevel="0" collapsed="false">
      <c r="A49" s="25" t="n">
        <v>46191</v>
      </c>
      <c r="B49" s="1" t="s">
        <v>63</v>
      </c>
      <c r="C49" s="1" t="s">
        <v>71</v>
      </c>
      <c r="D49" s="1" t="s">
        <v>62</v>
      </c>
      <c r="E49" s="1" t="s">
        <v>72</v>
      </c>
      <c r="F49" s="1" t="s">
        <v>52</v>
      </c>
      <c r="G49" s="26" t="n">
        <v>0.541666666666667</v>
      </c>
      <c r="H49" s="26" t="n">
        <v>0.609027777777778</v>
      </c>
      <c r="I49" s="1" t="n">
        <v>97</v>
      </c>
      <c r="J49" s="1" t="s">
        <v>59</v>
      </c>
      <c r="K49" s="27" t="s">
        <v>54</v>
      </c>
      <c r="L49" s="1" t="str">
        <f aca="false">TEXT(A49,"mmm-yyyy")</f>
        <v>Jun-2026</v>
      </c>
      <c r="M49" s="28" t="n">
        <f aca="false">DATE(YEAR(A49),MONTH(A49),1)</f>
        <v>46174</v>
      </c>
    </row>
    <row r="50" customFormat="false" ht="14.25" hidden="false" customHeight="true" outlineLevel="0" collapsed="false">
      <c r="A50" s="25" t="n">
        <v>46192</v>
      </c>
      <c r="B50" s="1" t="s">
        <v>2</v>
      </c>
      <c r="C50" s="1" t="s">
        <v>71</v>
      </c>
      <c r="D50" s="1" t="s">
        <v>74</v>
      </c>
      <c r="E50" s="1" t="s">
        <v>72</v>
      </c>
      <c r="F50" s="1" t="s">
        <v>58</v>
      </c>
      <c r="G50" s="26" t="n">
        <v>0.666666666666667</v>
      </c>
      <c r="H50" s="26" t="n">
        <v>0.706944444444445</v>
      </c>
      <c r="I50" s="1" t="n">
        <v>58</v>
      </c>
      <c r="J50" s="1" t="s">
        <v>69</v>
      </c>
      <c r="K50" s="27" t="s">
        <v>54</v>
      </c>
      <c r="L50" s="1" t="str">
        <f aca="false">TEXT(A50,"mmm-yyyy")</f>
        <v>Jun-2026</v>
      </c>
      <c r="M50" s="28" t="n">
        <f aca="false">DATE(YEAR(A50),MONTH(A50),1)</f>
        <v>46174</v>
      </c>
    </row>
    <row r="51" customFormat="false" ht="14.25" hidden="false" customHeight="true" outlineLevel="0" collapsed="false">
      <c r="A51" s="25" t="n">
        <v>46193</v>
      </c>
      <c r="B51" s="1" t="s">
        <v>55</v>
      </c>
      <c r="C51" s="1" t="s">
        <v>56</v>
      </c>
      <c r="D51" s="1" t="s">
        <v>60</v>
      </c>
      <c r="E51" s="1" t="s">
        <v>57</v>
      </c>
      <c r="F51" s="1" t="s">
        <v>52</v>
      </c>
      <c r="G51" s="26" t="n">
        <v>0.604166666666667</v>
      </c>
      <c r="H51" s="26" t="n">
        <v>0.674305555555556</v>
      </c>
      <c r="I51" s="1" t="n">
        <v>101</v>
      </c>
      <c r="J51" s="1" t="s">
        <v>59</v>
      </c>
      <c r="K51" s="27" t="s">
        <v>54</v>
      </c>
      <c r="L51" s="1" t="str">
        <f aca="false">TEXT(A51,"mmm-yyyy")</f>
        <v>Jun-2026</v>
      </c>
      <c r="M51" s="28" t="n">
        <f aca="false">DATE(YEAR(A51),MONTH(A51),1)</f>
        <v>46174</v>
      </c>
    </row>
    <row r="52" customFormat="false" ht="14.25" hidden="false" customHeight="true" outlineLevel="0" collapsed="false">
      <c r="A52" s="25" t="n">
        <v>46194</v>
      </c>
      <c r="B52" s="1" t="s">
        <v>63</v>
      </c>
      <c r="C52" s="1" t="s">
        <v>64</v>
      </c>
      <c r="D52" s="1" t="s">
        <v>74</v>
      </c>
      <c r="E52" s="1" t="s">
        <v>65</v>
      </c>
      <c r="F52" s="1" t="s">
        <v>70</v>
      </c>
      <c r="G52" s="26" t="n">
        <v>0.541666666666667</v>
      </c>
      <c r="H52" s="26" t="n">
        <v>0.606944444444444</v>
      </c>
      <c r="I52" s="1" t="n">
        <v>94</v>
      </c>
      <c r="J52" s="1" t="s">
        <v>69</v>
      </c>
      <c r="K52" s="27" t="s">
        <v>54</v>
      </c>
      <c r="L52" s="1" t="str">
        <f aca="false">TEXT(A52,"mmm-yyyy")</f>
        <v>Jun-2026</v>
      </c>
      <c r="M52" s="28" t="n">
        <f aca="false">DATE(YEAR(A52),MONTH(A52),1)</f>
        <v>46174</v>
      </c>
    </row>
    <row r="53" customFormat="false" ht="14.25" hidden="false" customHeight="true" outlineLevel="0" collapsed="false">
      <c r="A53" s="25" t="n">
        <v>46195</v>
      </c>
      <c r="B53" s="1" t="s">
        <v>55</v>
      </c>
      <c r="C53" s="1" t="s">
        <v>56</v>
      </c>
      <c r="D53" s="1" t="s">
        <v>62</v>
      </c>
      <c r="E53" s="1" t="s">
        <v>57</v>
      </c>
      <c r="F53" s="1" t="s">
        <v>58</v>
      </c>
      <c r="G53" s="26" t="n">
        <v>0.572916666666667</v>
      </c>
      <c r="H53" s="26" t="n">
        <v>0.654166666666667</v>
      </c>
      <c r="I53" s="1" t="n">
        <v>117</v>
      </c>
      <c r="J53" s="1" t="s">
        <v>53</v>
      </c>
      <c r="K53" s="27" t="s">
        <v>54</v>
      </c>
      <c r="L53" s="1" t="str">
        <f aca="false">TEXT(A53,"mmm-yyyy")</f>
        <v>Jun-2026</v>
      </c>
      <c r="M53" s="28" t="n">
        <f aca="false">DATE(YEAR(A53),MONTH(A53),1)</f>
        <v>46174</v>
      </c>
    </row>
    <row r="54" customFormat="false" ht="14.25" hidden="false" customHeight="true" outlineLevel="0" collapsed="false">
      <c r="A54" s="25" t="n">
        <v>46196</v>
      </c>
      <c r="B54" s="1" t="s">
        <v>2</v>
      </c>
      <c r="C54" s="1" t="s">
        <v>64</v>
      </c>
      <c r="D54" s="1" t="s">
        <v>60</v>
      </c>
      <c r="E54" s="1" t="s">
        <v>65</v>
      </c>
      <c r="F54" s="1" t="s">
        <v>52</v>
      </c>
      <c r="G54" s="26" t="n">
        <v>0.552083333333333</v>
      </c>
      <c r="H54" s="26" t="n">
        <v>0.623611111111111</v>
      </c>
      <c r="I54" s="1" t="n">
        <v>103</v>
      </c>
      <c r="J54" s="1" t="s">
        <v>61</v>
      </c>
      <c r="K54" s="27" t="s">
        <v>54</v>
      </c>
      <c r="L54" s="1" t="str">
        <f aca="false">TEXT(A54,"mmm-yyyy")</f>
        <v>Jun-2026</v>
      </c>
      <c r="M54" s="28" t="n">
        <f aca="false">DATE(YEAR(A54),MONTH(A54),1)</f>
        <v>46174</v>
      </c>
    </row>
    <row r="55" customFormat="false" ht="14.25" hidden="false" customHeight="true" outlineLevel="0" collapsed="false">
      <c r="A55" s="25" t="n">
        <v>46197</v>
      </c>
      <c r="B55" s="1" t="s">
        <v>55</v>
      </c>
      <c r="C55" s="1" t="s">
        <v>64</v>
      </c>
      <c r="D55" s="1" t="s">
        <v>60</v>
      </c>
      <c r="E55" s="1" t="s">
        <v>65</v>
      </c>
      <c r="F55" s="1" t="s">
        <v>70</v>
      </c>
      <c r="G55" s="26" t="n">
        <v>0.40625</v>
      </c>
      <c r="H55" s="26" t="n">
        <v>0.457638888888889</v>
      </c>
      <c r="I55" s="1" t="n">
        <v>74</v>
      </c>
      <c r="J55" s="1" t="s">
        <v>59</v>
      </c>
      <c r="K55" s="27" t="s">
        <v>54</v>
      </c>
      <c r="L55" s="1" t="str">
        <f aca="false">TEXT(A55,"mmm-yyyy")</f>
        <v>Jun-2026</v>
      </c>
      <c r="M55" s="28" t="n">
        <f aca="false">DATE(YEAR(A55),MONTH(A55),1)</f>
        <v>46174</v>
      </c>
    </row>
    <row r="56" customFormat="false" ht="14.25" hidden="false" customHeight="true" outlineLevel="0" collapsed="false">
      <c r="A56" s="25" t="n">
        <v>46198</v>
      </c>
      <c r="B56" s="1" t="s">
        <v>73</v>
      </c>
      <c r="C56" s="1" t="s">
        <v>49</v>
      </c>
      <c r="D56" s="1" t="s">
        <v>74</v>
      </c>
      <c r="E56" s="1" t="s">
        <v>51</v>
      </c>
      <c r="F56" s="1" t="s">
        <v>70</v>
      </c>
      <c r="G56" s="26" t="n">
        <v>0.4375</v>
      </c>
      <c r="H56" s="26" t="n">
        <v>0.48125</v>
      </c>
      <c r="I56" s="1" t="n">
        <v>63</v>
      </c>
      <c r="J56" s="1" t="s">
        <v>53</v>
      </c>
      <c r="K56" s="27" t="s">
        <v>54</v>
      </c>
      <c r="L56" s="1" t="str">
        <f aca="false">TEXT(A56,"mmm-yyyy")</f>
        <v>Jun-2026</v>
      </c>
      <c r="M56" s="28" t="n">
        <f aca="false">DATE(YEAR(A56),MONTH(A56),1)</f>
        <v>46174</v>
      </c>
    </row>
    <row r="57" customFormat="false" ht="14.25" hidden="false" customHeight="true" outlineLevel="0" collapsed="false">
      <c r="A57" s="25" t="n">
        <v>46199</v>
      </c>
      <c r="B57" s="1" t="s">
        <v>68</v>
      </c>
      <c r="C57" s="1" t="s">
        <v>64</v>
      </c>
      <c r="D57" s="1" t="s">
        <v>74</v>
      </c>
      <c r="E57" s="1" t="s">
        <v>65</v>
      </c>
      <c r="F57" s="1" t="s">
        <v>70</v>
      </c>
      <c r="G57" s="26" t="n">
        <v>0.416666666666667</v>
      </c>
      <c r="H57" s="26" t="n">
        <v>0.457638888888889</v>
      </c>
      <c r="I57" s="1" t="n">
        <v>59</v>
      </c>
      <c r="J57" s="1" t="s">
        <v>69</v>
      </c>
      <c r="K57" s="27" t="s">
        <v>54</v>
      </c>
      <c r="L57" s="1" t="str">
        <f aca="false">TEXT(A57,"mmm-yyyy")</f>
        <v>Jun-2026</v>
      </c>
      <c r="M57" s="28" t="n">
        <f aca="false">DATE(YEAR(A57),MONTH(A57),1)</f>
        <v>46174</v>
      </c>
    </row>
    <row r="58" customFormat="false" ht="14.25" hidden="false" customHeight="true" outlineLevel="0" collapsed="false">
      <c r="A58" s="25" t="n">
        <v>46200</v>
      </c>
      <c r="B58" s="1" t="s">
        <v>63</v>
      </c>
      <c r="C58" s="1" t="s">
        <v>71</v>
      </c>
      <c r="D58" s="1" t="s">
        <v>74</v>
      </c>
      <c r="E58" s="1" t="s">
        <v>72</v>
      </c>
      <c r="F58" s="1" t="s">
        <v>70</v>
      </c>
      <c r="G58" s="26" t="n">
        <v>0.375</v>
      </c>
      <c r="H58" s="26" t="n">
        <v>0.425</v>
      </c>
      <c r="I58" s="1" t="n">
        <v>72</v>
      </c>
      <c r="J58" s="1" t="s">
        <v>53</v>
      </c>
      <c r="K58" s="27" t="s">
        <v>54</v>
      </c>
      <c r="L58" s="1" t="str">
        <f aca="false">TEXT(A58,"mmm-yyyy")</f>
        <v>Jun-2026</v>
      </c>
      <c r="M58" s="28" t="n">
        <f aca="false">DATE(YEAR(A58),MONTH(A58),1)</f>
        <v>46174</v>
      </c>
    </row>
    <row r="59" customFormat="false" ht="14.25" hidden="false" customHeight="true" outlineLevel="0" collapsed="false">
      <c r="A59" s="25" t="n">
        <v>46201</v>
      </c>
      <c r="B59" s="1" t="s">
        <v>63</v>
      </c>
      <c r="C59" s="1" t="s">
        <v>64</v>
      </c>
      <c r="D59" s="1" t="s">
        <v>60</v>
      </c>
      <c r="E59" s="1" t="s">
        <v>65</v>
      </c>
      <c r="F59" s="1" t="s">
        <v>58</v>
      </c>
      <c r="G59" s="26" t="n">
        <v>0.385416666666667</v>
      </c>
      <c r="H59" s="26" t="n">
        <v>0.454166666666667</v>
      </c>
      <c r="I59" s="1" t="n">
        <v>99</v>
      </c>
      <c r="J59" s="1" t="s">
        <v>59</v>
      </c>
      <c r="K59" s="27" t="s">
        <v>54</v>
      </c>
      <c r="L59" s="1" t="str">
        <f aca="false">TEXT(A59,"mmm-yyyy")</f>
        <v>Jun-2026</v>
      </c>
      <c r="M59" s="28" t="n">
        <f aca="false">DATE(YEAR(A59),MONTH(A59),1)</f>
        <v>46174</v>
      </c>
    </row>
    <row r="60" customFormat="false" ht="14.25" hidden="false" customHeight="true" outlineLevel="0" collapsed="false">
      <c r="A60" s="25" t="n">
        <v>46202</v>
      </c>
      <c r="B60" s="1" t="s">
        <v>55</v>
      </c>
      <c r="C60" s="1" t="s">
        <v>71</v>
      </c>
      <c r="D60" s="1" t="s">
        <v>60</v>
      </c>
      <c r="E60" s="1" t="s">
        <v>72</v>
      </c>
      <c r="F60" s="1" t="s">
        <v>52</v>
      </c>
      <c r="G60" s="26" t="n">
        <v>0.375</v>
      </c>
      <c r="H60" s="26" t="n">
        <v>0.438194444444444</v>
      </c>
      <c r="I60" s="1" t="n">
        <v>91</v>
      </c>
      <c r="J60" s="1" t="s">
        <v>69</v>
      </c>
      <c r="K60" s="27" t="s">
        <v>54</v>
      </c>
      <c r="L60" s="1" t="str">
        <f aca="false">TEXT(A60,"mmm-yyyy")</f>
        <v>Jun-2026</v>
      </c>
      <c r="M60" s="28" t="n">
        <f aca="false">DATE(YEAR(A60),MONTH(A60),1)</f>
        <v>46174</v>
      </c>
    </row>
    <row r="61" customFormat="false" ht="14.25" hidden="false" customHeight="true" outlineLevel="0" collapsed="false">
      <c r="A61" s="25" t="n">
        <v>46203</v>
      </c>
      <c r="B61" s="1" t="s">
        <v>68</v>
      </c>
      <c r="C61" s="1" t="s">
        <v>71</v>
      </c>
      <c r="D61" s="1" t="s">
        <v>62</v>
      </c>
      <c r="E61" s="1" t="s">
        <v>72</v>
      </c>
      <c r="F61" s="1" t="s">
        <v>52</v>
      </c>
      <c r="G61" s="26" t="n">
        <v>0.4375</v>
      </c>
      <c r="H61" s="26" t="n">
        <v>0.514583333333333</v>
      </c>
      <c r="I61" s="1" t="n">
        <v>111</v>
      </c>
      <c r="J61" s="1" t="s">
        <v>69</v>
      </c>
      <c r="K61" s="27" t="s">
        <v>54</v>
      </c>
      <c r="L61" s="1" t="str">
        <f aca="false">TEXT(A61,"mmm-yyyy")</f>
        <v>Jun-2026</v>
      </c>
      <c r="M61" s="28" t="n">
        <f aca="false">DATE(YEAR(A61),MONTH(A61),1)</f>
        <v>46174</v>
      </c>
    </row>
    <row r="62" customFormat="false" ht="14.25" hidden="false" customHeight="true" outlineLevel="0" collapsed="false">
      <c r="A62" s="25" t="n">
        <v>46174</v>
      </c>
      <c r="B62" s="1" t="s">
        <v>55</v>
      </c>
      <c r="C62" s="1" t="s">
        <v>64</v>
      </c>
      <c r="D62" s="1" t="s">
        <v>50</v>
      </c>
      <c r="E62" s="1" t="s">
        <v>65</v>
      </c>
      <c r="F62" s="1" t="s">
        <v>58</v>
      </c>
      <c r="G62" s="26" t="n">
        <v>0.666666666666667</v>
      </c>
      <c r="H62" s="26" t="n">
        <v>0.742361111111111</v>
      </c>
      <c r="I62" s="1" t="n">
        <v>109</v>
      </c>
      <c r="J62" s="1" t="s">
        <v>61</v>
      </c>
      <c r="K62" s="27" t="s">
        <v>54</v>
      </c>
      <c r="L62" s="1" t="str">
        <f aca="false">TEXT(A62,"mmm-yyyy")</f>
        <v>Jun-2026</v>
      </c>
      <c r="M62" s="28" t="n">
        <f aca="false">DATE(YEAR(A62),MONTH(A62),1)</f>
        <v>46174</v>
      </c>
    </row>
    <row r="63" customFormat="false" ht="14.25" hidden="false" customHeight="true" outlineLevel="0" collapsed="false">
      <c r="A63" s="25" t="n">
        <v>46175</v>
      </c>
      <c r="B63" s="1" t="s">
        <v>63</v>
      </c>
      <c r="C63" s="1" t="s">
        <v>66</v>
      </c>
      <c r="D63" s="1" t="s">
        <v>62</v>
      </c>
      <c r="E63" s="1" t="s">
        <v>67</v>
      </c>
      <c r="F63" s="1" t="s">
        <v>58</v>
      </c>
      <c r="G63" s="26" t="n">
        <v>0.375</v>
      </c>
      <c r="H63" s="26" t="n">
        <v>0.407638888888889</v>
      </c>
      <c r="I63" s="1" t="n">
        <v>47</v>
      </c>
      <c r="J63" s="1" t="s">
        <v>61</v>
      </c>
      <c r="K63" s="27" t="s">
        <v>54</v>
      </c>
      <c r="L63" s="1" t="str">
        <f aca="false">TEXT(A63,"mmm-yyyy")</f>
        <v>Jun-2026</v>
      </c>
      <c r="M63" s="28" t="n">
        <f aca="false">DATE(YEAR(A63),MONTH(A63),1)</f>
        <v>46174</v>
      </c>
    </row>
    <row r="64" customFormat="false" ht="14.25" hidden="false" customHeight="true" outlineLevel="0" collapsed="false">
      <c r="A64" s="25" t="n">
        <v>46176</v>
      </c>
      <c r="B64" s="1" t="s">
        <v>55</v>
      </c>
      <c r="C64" s="1" t="s">
        <v>64</v>
      </c>
      <c r="D64" s="1" t="s">
        <v>62</v>
      </c>
      <c r="E64" s="1" t="s">
        <v>65</v>
      </c>
      <c r="F64" s="1" t="s">
        <v>70</v>
      </c>
      <c r="G64" s="26" t="n">
        <v>0.53125</v>
      </c>
      <c r="H64" s="26" t="n">
        <v>0.55625</v>
      </c>
      <c r="I64" s="1" t="n">
        <v>36</v>
      </c>
      <c r="J64" s="1" t="s">
        <v>53</v>
      </c>
      <c r="K64" s="27" t="s">
        <v>54</v>
      </c>
      <c r="L64" s="1" t="str">
        <f aca="false">TEXT(A64,"mmm-yyyy")</f>
        <v>Jun-2026</v>
      </c>
      <c r="M64" s="28" t="n">
        <f aca="false">DATE(YEAR(A64),MONTH(A64),1)</f>
        <v>46174</v>
      </c>
    </row>
    <row r="65" customFormat="false" ht="14.25" hidden="false" customHeight="true" outlineLevel="0" collapsed="false">
      <c r="A65" s="25" t="n">
        <v>46177</v>
      </c>
      <c r="B65" s="1" t="s">
        <v>68</v>
      </c>
      <c r="C65" s="1" t="s">
        <v>56</v>
      </c>
      <c r="D65" s="1" t="s">
        <v>50</v>
      </c>
      <c r="E65" s="1" t="s">
        <v>57</v>
      </c>
      <c r="F65" s="1" t="s">
        <v>52</v>
      </c>
      <c r="G65" s="26" t="n">
        <v>0.53125</v>
      </c>
      <c r="H65" s="26" t="n">
        <v>0.6</v>
      </c>
      <c r="I65" s="1" t="n">
        <v>99</v>
      </c>
      <c r="J65" s="1" t="s">
        <v>53</v>
      </c>
      <c r="K65" s="27" t="s">
        <v>54</v>
      </c>
      <c r="L65" s="1" t="str">
        <f aca="false">TEXT(A65,"mmm-yyyy")</f>
        <v>Jun-2026</v>
      </c>
      <c r="M65" s="28" t="n">
        <f aca="false">DATE(YEAR(A65),MONTH(A65),1)</f>
        <v>46174</v>
      </c>
    </row>
    <row r="66" customFormat="false" ht="14.25" hidden="false" customHeight="true" outlineLevel="0" collapsed="false">
      <c r="A66" s="25" t="n">
        <v>46178</v>
      </c>
      <c r="B66" s="1" t="s">
        <v>73</v>
      </c>
      <c r="C66" s="1" t="s">
        <v>64</v>
      </c>
      <c r="D66" s="1" t="s">
        <v>50</v>
      </c>
      <c r="E66" s="1" t="s">
        <v>65</v>
      </c>
      <c r="F66" s="1" t="s">
        <v>52</v>
      </c>
      <c r="G66" s="26" t="n">
        <v>0.666666666666667</v>
      </c>
      <c r="H66" s="26" t="n">
        <v>0.704166666666667</v>
      </c>
      <c r="I66" s="1" t="n">
        <v>54</v>
      </c>
      <c r="J66" s="1" t="s">
        <v>69</v>
      </c>
      <c r="K66" s="27" t="s">
        <v>54</v>
      </c>
      <c r="L66" s="1" t="str">
        <f aca="false">TEXT(A66,"mmm-yyyy")</f>
        <v>Jun-2026</v>
      </c>
      <c r="M66" s="28" t="n">
        <f aca="false">DATE(YEAR(A66),MONTH(A66),1)</f>
        <v>46174</v>
      </c>
    </row>
    <row r="67" customFormat="false" ht="14.25" hidden="false" customHeight="true" outlineLevel="0" collapsed="false">
      <c r="A67" s="25" t="n">
        <v>46179</v>
      </c>
      <c r="B67" s="1" t="s">
        <v>73</v>
      </c>
      <c r="C67" s="1" t="s">
        <v>66</v>
      </c>
      <c r="D67" s="1" t="s">
        <v>60</v>
      </c>
      <c r="E67" s="1" t="s">
        <v>67</v>
      </c>
      <c r="F67" s="1" t="s">
        <v>70</v>
      </c>
      <c r="G67" s="26" t="n">
        <v>0.395833333333333</v>
      </c>
      <c r="H67" s="26" t="n">
        <v>0.463194444444445</v>
      </c>
      <c r="I67" s="1" t="n">
        <v>97</v>
      </c>
      <c r="J67" s="1" t="s">
        <v>69</v>
      </c>
      <c r="K67" s="27" t="s">
        <v>54</v>
      </c>
      <c r="L67" s="1" t="str">
        <f aca="false">TEXT(A67,"mmm-yyyy")</f>
        <v>Jun-2026</v>
      </c>
      <c r="M67" s="28" t="n">
        <f aca="false">DATE(YEAR(A67),MONTH(A67),1)</f>
        <v>46174</v>
      </c>
    </row>
    <row r="68" customFormat="false" ht="14.25" hidden="false" customHeight="true" outlineLevel="0" collapsed="false">
      <c r="A68" s="25" t="n">
        <v>46180</v>
      </c>
      <c r="B68" s="1" t="s">
        <v>55</v>
      </c>
      <c r="C68" s="1" t="s">
        <v>49</v>
      </c>
      <c r="D68" s="1" t="s">
        <v>74</v>
      </c>
      <c r="E68" s="1" t="s">
        <v>51</v>
      </c>
      <c r="F68" s="1" t="s">
        <v>58</v>
      </c>
      <c r="G68" s="26" t="n">
        <v>0.375</v>
      </c>
      <c r="H68" s="26" t="n">
        <v>0.427083333333333</v>
      </c>
      <c r="I68" s="1" t="n">
        <v>75</v>
      </c>
      <c r="J68" s="1" t="s">
        <v>53</v>
      </c>
      <c r="K68" s="27" t="s">
        <v>54</v>
      </c>
      <c r="L68" s="1" t="str">
        <f aca="false">TEXT(A68,"mmm-yyyy")</f>
        <v>Jun-2026</v>
      </c>
      <c r="M68" s="28" t="n">
        <f aca="false">DATE(YEAR(A68),MONTH(A68),1)</f>
        <v>46174</v>
      </c>
    </row>
    <row r="69" customFormat="false" ht="14.25" hidden="false" customHeight="true" outlineLevel="0" collapsed="false">
      <c r="A69" s="25" t="n">
        <v>46181</v>
      </c>
      <c r="B69" s="1" t="s">
        <v>2</v>
      </c>
      <c r="C69" s="1" t="s">
        <v>66</v>
      </c>
      <c r="D69" s="1" t="s">
        <v>62</v>
      </c>
      <c r="E69" s="1" t="s">
        <v>67</v>
      </c>
      <c r="F69" s="1" t="s">
        <v>58</v>
      </c>
      <c r="G69" s="26" t="n">
        <v>0.59375</v>
      </c>
      <c r="H69" s="26" t="n">
        <v>0.625694444444444</v>
      </c>
      <c r="I69" s="1" t="n">
        <v>46</v>
      </c>
      <c r="J69" s="1" t="s">
        <v>69</v>
      </c>
      <c r="K69" s="27" t="s">
        <v>54</v>
      </c>
      <c r="L69" s="1" t="str">
        <f aca="false">TEXT(A69,"mmm-yyyy")</f>
        <v>Jun-2026</v>
      </c>
      <c r="M69" s="28" t="n">
        <f aca="false">DATE(YEAR(A69),MONTH(A69),1)</f>
        <v>46174</v>
      </c>
    </row>
    <row r="70" customFormat="false" ht="14.25" hidden="false" customHeight="true" outlineLevel="0" collapsed="false">
      <c r="A70" s="25" t="n">
        <v>46182</v>
      </c>
      <c r="B70" s="1" t="s">
        <v>73</v>
      </c>
      <c r="C70" s="1" t="s">
        <v>66</v>
      </c>
      <c r="D70" s="1" t="s">
        <v>60</v>
      </c>
      <c r="E70" s="1" t="s">
        <v>67</v>
      </c>
      <c r="F70" s="1" t="s">
        <v>52</v>
      </c>
      <c r="G70" s="26" t="n">
        <v>0.677083333333333</v>
      </c>
      <c r="H70" s="26" t="n">
        <v>0.736111111111111</v>
      </c>
      <c r="I70" s="1" t="n">
        <v>85</v>
      </c>
      <c r="J70" s="1" t="s">
        <v>53</v>
      </c>
      <c r="K70" s="27" t="s">
        <v>54</v>
      </c>
      <c r="L70" s="1" t="str">
        <f aca="false">TEXT(A70,"mmm-yyyy")</f>
        <v>Jun-2026</v>
      </c>
      <c r="M70" s="28" t="n">
        <f aca="false">DATE(YEAR(A70),MONTH(A70),1)</f>
        <v>46174</v>
      </c>
    </row>
    <row r="71" customFormat="false" ht="14.25" hidden="false" customHeight="true" outlineLevel="0" collapsed="false">
      <c r="A71" s="25" t="n">
        <v>46183</v>
      </c>
      <c r="B71" s="1" t="s">
        <v>73</v>
      </c>
      <c r="C71" s="1" t="s">
        <v>71</v>
      </c>
      <c r="D71" s="1" t="s">
        <v>60</v>
      </c>
      <c r="E71" s="1" t="s">
        <v>72</v>
      </c>
      <c r="F71" s="1" t="s">
        <v>52</v>
      </c>
      <c r="G71" s="26" t="n">
        <v>0.5625</v>
      </c>
      <c r="H71" s="26" t="n">
        <v>0.601388888888889</v>
      </c>
      <c r="I71" s="1" t="n">
        <v>56</v>
      </c>
      <c r="J71" s="1" t="s">
        <v>69</v>
      </c>
      <c r="K71" s="27" t="s">
        <v>54</v>
      </c>
      <c r="L71" s="1" t="str">
        <f aca="false">TEXT(A71,"mmm-yyyy")</f>
        <v>Jun-2026</v>
      </c>
      <c r="M71" s="28" t="n">
        <f aca="false">DATE(YEAR(A71),MONTH(A71),1)</f>
        <v>46174</v>
      </c>
    </row>
    <row r="72" customFormat="false" ht="14.25" hidden="false" customHeight="true" outlineLevel="0" collapsed="false">
      <c r="A72" s="25" t="n">
        <v>46184</v>
      </c>
      <c r="B72" s="1" t="s">
        <v>68</v>
      </c>
      <c r="C72" s="1" t="s">
        <v>56</v>
      </c>
      <c r="D72" s="1" t="s">
        <v>62</v>
      </c>
      <c r="E72" s="1" t="s">
        <v>57</v>
      </c>
      <c r="F72" s="1" t="s">
        <v>58</v>
      </c>
      <c r="G72" s="26" t="n">
        <v>0.5</v>
      </c>
      <c r="H72" s="26" t="n">
        <v>0.525</v>
      </c>
      <c r="I72" s="1" t="n">
        <v>36</v>
      </c>
      <c r="J72" s="1" t="s">
        <v>59</v>
      </c>
      <c r="K72" s="27" t="s">
        <v>54</v>
      </c>
      <c r="L72" s="1" t="str">
        <f aca="false">TEXT(A72,"mmm-yyyy")</f>
        <v>Jun-2026</v>
      </c>
      <c r="M72" s="28" t="n">
        <f aca="false">DATE(YEAR(A72),MONTH(A72),1)</f>
        <v>46174</v>
      </c>
    </row>
    <row r="73" customFormat="false" ht="14.25" hidden="false" customHeight="true" outlineLevel="0" collapsed="false">
      <c r="A73" s="25" t="n">
        <v>46185</v>
      </c>
      <c r="B73" s="1" t="s">
        <v>55</v>
      </c>
      <c r="C73" s="1" t="s">
        <v>49</v>
      </c>
      <c r="D73" s="1" t="s">
        <v>74</v>
      </c>
      <c r="E73" s="1" t="s">
        <v>51</v>
      </c>
      <c r="F73" s="1" t="s">
        <v>58</v>
      </c>
      <c r="G73" s="26" t="n">
        <v>0.583333333333333</v>
      </c>
      <c r="H73" s="26" t="n">
        <v>0.663194444444444</v>
      </c>
      <c r="I73" s="1" t="n">
        <v>115</v>
      </c>
      <c r="J73" s="1" t="s">
        <v>69</v>
      </c>
      <c r="K73" s="27" t="s">
        <v>54</v>
      </c>
      <c r="L73" s="1" t="str">
        <f aca="false">TEXT(A73,"mmm-yyyy")</f>
        <v>Jun-2026</v>
      </c>
      <c r="M73" s="28" t="n">
        <f aca="false">DATE(YEAR(A73),MONTH(A73),1)</f>
        <v>46174</v>
      </c>
    </row>
    <row r="74" customFormat="false" ht="14.25" hidden="false" customHeight="true" outlineLevel="0" collapsed="false">
      <c r="A74" s="25" t="n">
        <v>46186</v>
      </c>
      <c r="B74" s="1" t="s">
        <v>68</v>
      </c>
      <c r="C74" s="1" t="s">
        <v>56</v>
      </c>
      <c r="D74" s="1" t="s">
        <v>60</v>
      </c>
      <c r="E74" s="1" t="s">
        <v>57</v>
      </c>
      <c r="F74" s="1" t="s">
        <v>52</v>
      </c>
      <c r="G74" s="26" t="n">
        <v>0.625</v>
      </c>
      <c r="H74" s="26" t="n">
        <v>0.640277777777778</v>
      </c>
      <c r="I74" s="1" t="n">
        <v>22</v>
      </c>
      <c r="J74" s="1" t="s">
        <v>53</v>
      </c>
      <c r="K74" s="27" t="s">
        <v>54</v>
      </c>
      <c r="L74" s="1" t="str">
        <f aca="false">TEXT(A74,"mmm-yyyy")</f>
        <v>Jun-2026</v>
      </c>
      <c r="M74" s="28" t="n">
        <f aca="false">DATE(YEAR(A74),MONTH(A74),1)</f>
        <v>46174</v>
      </c>
    </row>
    <row r="75" customFormat="false" ht="14.25" hidden="false" customHeight="true" outlineLevel="0" collapsed="false">
      <c r="A75" s="25" t="n">
        <v>46187</v>
      </c>
      <c r="B75" s="1" t="s">
        <v>2</v>
      </c>
      <c r="C75" s="1" t="s">
        <v>56</v>
      </c>
      <c r="D75" s="1" t="s">
        <v>74</v>
      </c>
      <c r="E75" s="1" t="s">
        <v>57</v>
      </c>
      <c r="F75" s="1" t="s">
        <v>70</v>
      </c>
      <c r="G75" s="26" t="n">
        <v>0.65625</v>
      </c>
      <c r="H75" s="26" t="n">
        <v>0.679166666666667</v>
      </c>
      <c r="I75" s="1" t="n">
        <v>33</v>
      </c>
      <c r="J75" s="1" t="s">
        <v>61</v>
      </c>
      <c r="K75" s="27" t="s">
        <v>54</v>
      </c>
      <c r="L75" s="1" t="str">
        <f aca="false">TEXT(A75,"mmm-yyyy")</f>
        <v>Jun-2026</v>
      </c>
      <c r="M75" s="28" t="n">
        <f aca="false">DATE(YEAR(A75),MONTH(A75),1)</f>
        <v>46174</v>
      </c>
    </row>
    <row r="76" customFormat="false" ht="14.25" hidden="false" customHeight="true" outlineLevel="0" collapsed="false">
      <c r="A76" s="25" t="n">
        <v>46188</v>
      </c>
      <c r="B76" s="1" t="s">
        <v>63</v>
      </c>
      <c r="C76" s="1" t="s">
        <v>56</v>
      </c>
      <c r="D76" s="1" t="s">
        <v>50</v>
      </c>
      <c r="E76" s="1" t="s">
        <v>57</v>
      </c>
      <c r="F76" s="1" t="s">
        <v>70</v>
      </c>
      <c r="G76" s="26" t="n">
        <v>0.645833333333333</v>
      </c>
      <c r="H76" s="26" t="n">
        <v>0.718055555555556</v>
      </c>
      <c r="I76" s="1" t="n">
        <v>104</v>
      </c>
      <c r="J76" s="1" t="s">
        <v>59</v>
      </c>
      <c r="K76" s="27" t="s">
        <v>54</v>
      </c>
      <c r="L76" s="1" t="str">
        <f aca="false">TEXT(A76,"mmm-yyyy")</f>
        <v>Jun-2026</v>
      </c>
      <c r="M76" s="28" t="n">
        <f aca="false">DATE(YEAR(A76),MONTH(A76),1)</f>
        <v>46174</v>
      </c>
    </row>
    <row r="77" customFormat="false" ht="14.25" hidden="false" customHeight="true" outlineLevel="0" collapsed="false">
      <c r="A77" s="25" t="n">
        <v>46189</v>
      </c>
      <c r="B77" s="1" t="s">
        <v>55</v>
      </c>
      <c r="C77" s="1" t="s">
        <v>71</v>
      </c>
      <c r="D77" s="1" t="s">
        <v>50</v>
      </c>
      <c r="E77" s="1" t="s">
        <v>72</v>
      </c>
      <c r="F77" s="1" t="s">
        <v>52</v>
      </c>
      <c r="G77" s="26" t="n">
        <v>0.395833333333333</v>
      </c>
      <c r="H77" s="26" t="n">
        <v>0.421527777777778</v>
      </c>
      <c r="I77" s="1" t="n">
        <v>37</v>
      </c>
      <c r="J77" s="1" t="s">
        <v>59</v>
      </c>
      <c r="K77" s="27" t="s">
        <v>54</v>
      </c>
      <c r="L77" s="1" t="str">
        <f aca="false">TEXT(A77,"mmm-yyyy")</f>
        <v>Jun-2026</v>
      </c>
      <c r="M77" s="28" t="n">
        <f aca="false">DATE(YEAR(A77),MONTH(A77),1)</f>
        <v>46174</v>
      </c>
    </row>
    <row r="78" customFormat="false" ht="14.25" hidden="false" customHeight="true" outlineLevel="0" collapsed="false">
      <c r="A78" s="25" t="n">
        <v>46190</v>
      </c>
      <c r="B78" s="1" t="s">
        <v>55</v>
      </c>
      <c r="C78" s="1" t="s">
        <v>66</v>
      </c>
      <c r="D78" s="1" t="s">
        <v>74</v>
      </c>
      <c r="E78" s="1" t="s">
        <v>67</v>
      </c>
      <c r="F78" s="1" t="s">
        <v>52</v>
      </c>
      <c r="G78" s="26" t="n">
        <v>0.458333333333333</v>
      </c>
      <c r="H78" s="26" t="n">
        <v>0.519444444444445</v>
      </c>
      <c r="I78" s="1" t="n">
        <v>88</v>
      </c>
      <c r="J78" s="1" t="s">
        <v>61</v>
      </c>
      <c r="K78" s="27" t="s">
        <v>54</v>
      </c>
      <c r="L78" s="1" t="str">
        <f aca="false">TEXT(A78,"mmm-yyyy")</f>
        <v>Jun-2026</v>
      </c>
      <c r="M78" s="28" t="n">
        <f aca="false">DATE(YEAR(A78),MONTH(A78),1)</f>
        <v>46174</v>
      </c>
    </row>
    <row r="79" customFormat="false" ht="14.25" hidden="false" customHeight="true" outlineLevel="0" collapsed="false">
      <c r="A79" s="25" t="n">
        <v>46191</v>
      </c>
      <c r="B79" s="1" t="s">
        <v>73</v>
      </c>
      <c r="C79" s="1" t="s">
        <v>71</v>
      </c>
      <c r="D79" s="1" t="s">
        <v>62</v>
      </c>
      <c r="E79" s="1" t="s">
        <v>72</v>
      </c>
      <c r="F79" s="1" t="s">
        <v>52</v>
      </c>
      <c r="G79" s="26" t="n">
        <v>0.541666666666667</v>
      </c>
      <c r="H79" s="26" t="n">
        <v>0.584027777777778</v>
      </c>
      <c r="I79" s="1" t="n">
        <v>61</v>
      </c>
      <c r="J79" s="1" t="s">
        <v>59</v>
      </c>
      <c r="K79" s="27" t="s">
        <v>54</v>
      </c>
      <c r="L79" s="1" t="str">
        <f aca="false">TEXT(A79,"mmm-yyyy")</f>
        <v>Jun-2026</v>
      </c>
      <c r="M79" s="28" t="n">
        <f aca="false">DATE(YEAR(A79),MONTH(A79),1)</f>
        <v>46174</v>
      </c>
    </row>
    <row r="80" customFormat="false" ht="14.25" hidden="false" customHeight="true" outlineLevel="0" collapsed="false">
      <c r="A80" s="25" t="n">
        <v>46192</v>
      </c>
      <c r="B80" s="1" t="s">
        <v>68</v>
      </c>
      <c r="C80" s="1" t="s">
        <v>71</v>
      </c>
      <c r="D80" s="1" t="s">
        <v>62</v>
      </c>
      <c r="E80" s="1" t="s">
        <v>72</v>
      </c>
      <c r="F80" s="1" t="s">
        <v>58</v>
      </c>
      <c r="G80" s="26" t="n">
        <v>0.645833333333333</v>
      </c>
      <c r="H80" s="26" t="n">
        <v>0.711805555555556</v>
      </c>
      <c r="I80" s="1" t="n">
        <v>95</v>
      </c>
      <c r="J80" s="1" t="s">
        <v>61</v>
      </c>
      <c r="K80" s="27" t="s">
        <v>54</v>
      </c>
      <c r="L80" s="1" t="str">
        <f aca="false">TEXT(A80,"mmm-yyyy")</f>
        <v>Jun-2026</v>
      </c>
      <c r="M80" s="28" t="n">
        <f aca="false">DATE(YEAR(A80),MONTH(A80),1)</f>
        <v>46174</v>
      </c>
    </row>
    <row r="81" customFormat="false" ht="14.25" hidden="false" customHeight="true" outlineLevel="0" collapsed="false">
      <c r="A81" s="25" t="n">
        <v>46193</v>
      </c>
      <c r="B81" s="1" t="s">
        <v>2</v>
      </c>
      <c r="C81" s="1" t="s">
        <v>49</v>
      </c>
      <c r="D81" s="1" t="s">
        <v>62</v>
      </c>
      <c r="E81" s="1" t="s">
        <v>51</v>
      </c>
      <c r="F81" s="1" t="s">
        <v>52</v>
      </c>
      <c r="G81" s="26" t="n">
        <v>0.427083333333333</v>
      </c>
      <c r="H81" s="26" t="n">
        <v>0.488194444444444</v>
      </c>
      <c r="I81" s="1" t="n">
        <v>88</v>
      </c>
      <c r="J81" s="1" t="s">
        <v>59</v>
      </c>
      <c r="K81" s="27" t="s">
        <v>54</v>
      </c>
      <c r="L81" s="1" t="str">
        <f aca="false">TEXT(A81,"mmm-yyyy")</f>
        <v>Jun-2026</v>
      </c>
      <c r="M81" s="28" t="n">
        <f aca="false">DATE(YEAR(A81),MONTH(A81),1)</f>
        <v>46174</v>
      </c>
    </row>
    <row r="82" customFormat="false" ht="14.25" hidden="false" customHeight="true" outlineLevel="0" collapsed="false">
      <c r="A82" s="25" t="n">
        <v>46194</v>
      </c>
      <c r="B82" s="1" t="s">
        <v>2</v>
      </c>
      <c r="C82" s="1" t="s">
        <v>66</v>
      </c>
      <c r="D82" s="1" t="s">
        <v>50</v>
      </c>
      <c r="E82" s="1" t="s">
        <v>67</v>
      </c>
      <c r="F82" s="1" t="s">
        <v>52</v>
      </c>
      <c r="G82" s="26" t="n">
        <v>0.6875</v>
      </c>
      <c r="H82" s="26" t="n">
        <v>0.74375</v>
      </c>
      <c r="I82" s="1" t="n">
        <v>81</v>
      </c>
      <c r="J82" s="1" t="s">
        <v>61</v>
      </c>
      <c r="K82" s="27" t="s">
        <v>54</v>
      </c>
      <c r="L82" s="1" t="str">
        <f aca="false">TEXT(A82,"mmm-yyyy")</f>
        <v>Jun-2026</v>
      </c>
      <c r="M82" s="28" t="n">
        <f aca="false">DATE(YEAR(A82),MONTH(A82),1)</f>
        <v>46174</v>
      </c>
    </row>
    <row r="83" customFormat="false" ht="14.25" hidden="false" customHeight="true" outlineLevel="0" collapsed="false">
      <c r="A83" s="25" t="n">
        <v>46195</v>
      </c>
      <c r="B83" s="1" t="s">
        <v>2</v>
      </c>
      <c r="C83" s="1" t="s">
        <v>71</v>
      </c>
      <c r="D83" s="1" t="s">
        <v>50</v>
      </c>
      <c r="E83" s="1" t="s">
        <v>72</v>
      </c>
      <c r="F83" s="1" t="s">
        <v>58</v>
      </c>
      <c r="G83" s="26" t="n">
        <v>0.5</v>
      </c>
      <c r="H83" s="26" t="n">
        <v>0.524305555555556</v>
      </c>
      <c r="I83" s="1" t="n">
        <v>35</v>
      </c>
      <c r="J83" s="1" t="s">
        <v>61</v>
      </c>
      <c r="K83" s="27" t="s">
        <v>54</v>
      </c>
      <c r="L83" s="1" t="str">
        <f aca="false">TEXT(A83,"mmm-yyyy")</f>
        <v>Jun-2026</v>
      </c>
      <c r="M83" s="28" t="n">
        <f aca="false">DATE(YEAR(A83),MONTH(A83),1)</f>
        <v>46174</v>
      </c>
    </row>
    <row r="84" customFormat="false" ht="14.25" hidden="false" customHeight="true" outlineLevel="0" collapsed="false">
      <c r="A84" s="25" t="n">
        <v>46196</v>
      </c>
      <c r="B84" s="1" t="s">
        <v>55</v>
      </c>
      <c r="C84" s="1" t="s">
        <v>71</v>
      </c>
      <c r="D84" s="1" t="s">
        <v>60</v>
      </c>
      <c r="E84" s="1" t="s">
        <v>72</v>
      </c>
      <c r="F84" s="1" t="s">
        <v>58</v>
      </c>
      <c r="G84" s="26" t="n">
        <v>0.447916666666667</v>
      </c>
      <c r="H84" s="26" t="n">
        <v>0.495833333333333</v>
      </c>
      <c r="I84" s="1" t="n">
        <v>69</v>
      </c>
      <c r="J84" s="1" t="s">
        <v>53</v>
      </c>
      <c r="K84" s="27" t="s">
        <v>54</v>
      </c>
      <c r="L84" s="1" t="str">
        <f aca="false">TEXT(A84,"mmm-yyyy")</f>
        <v>Jun-2026</v>
      </c>
      <c r="M84" s="28" t="n">
        <f aca="false">DATE(YEAR(A84),MONTH(A84),1)</f>
        <v>46174</v>
      </c>
    </row>
    <row r="85" customFormat="false" ht="14.25" hidden="false" customHeight="true" outlineLevel="0" collapsed="false">
      <c r="A85" s="25" t="n">
        <v>46197</v>
      </c>
      <c r="B85" s="1" t="s">
        <v>73</v>
      </c>
      <c r="C85" s="1" t="s">
        <v>71</v>
      </c>
      <c r="D85" s="1" t="s">
        <v>74</v>
      </c>
      <c r="E85" s="1" t="s">
        <v>72</v>
      </c>
      <c r="F85" s="1" t="s">
        <v>58</v>
      </c>
      <c r="G85" s="26" t="n">
        <v>0.583333333333333</v>
      </c>
      <c r="H85" s="26" t="n">
        <v>0.640277777777778</v>
      </c>
      <c r="I85" s="1" t="n">
        <v>82</v>
      </c>
      <c r="J85" s="1" t="s">
        <v>69</v>
      </c>
      <c r="K85" s="27" t="s">
        <v>54</v>
      </c>
      <c r="L85" s="1" t="str">
        <f aca="false">TEXT(A85,"mmm-yyyy")</f>
        <v>Jun-2026</v>
      </c>
      <c r="M85" s="28" t="n">
        <f aca="false">DATE(YEAR(A85),MONTH(A85),1)</f>
        <v>46174</v>
      </c>
    </row>
    <row r="86" customFormat="false" ht="14.25" hidden="false" customHeight="true" outlineLevel="0" collapsed="false">
      <c r="A86" s="25" t="n">
        <v>46198</v>
      </c>
      <c r="B86" s="1" t="s">
        <v>73</v>
      </c>
      <c r="C86" s="1" t="s">
        <v>56</v>
      </c>
      <c r="D86" s="1" t="s">
        <v>50</v>
      </c>
      <c r="E86" s="1" t="s">
        <v>57</v>
      </c>
      <c r="F86" s="1" t="s">
        <v>58</v>
      </c>
      <c r="G86" s="26" t="n">
        <v>0.635416666666667</v>
      </c>
      <c r="H86" s="26" t="n">
        <v>0.715972222222222</v>
      </c>
      <c r="I86" s="1" t="n">
        <v>116</v>
      </c>
      <c r="J86" s="1" t="s">
        <v>53</v>
      </c>
      <c r="K86" s="27" t="s">
        <v>54</v>
      </c>
      <c r="L86" s="1" t="str">
        <f aca="false">TEXT(A86,"mmm-yyyy")</f>
        <v>Jun-2026</v>
      </c>
      <c r="M86" s="28" t="n">
        <f aca="false">DATE(YEAR(A86),MONTH(A86),1)</f>
        <v>46174</v>
      </c>
    </row>
    <row r="87" customFormat="false" ht="14.25" hidden="false" customHeight="true" outlineLevel="0" collapsed="false">
      <c r="A87" s="25" t="n">
        <v>46199</v>
      </c>
      <c r="B87" s="1" t="s">
        <v>73</v>
      </c>
      <c r="C87" s="1" t="s">
        <v>56</v>
      </c>
      <c r="D87" s="1" t="s">
        <v>50</v>
      </c>
      <c r="E87" s="1" t="s">
        <v>57</v>
      </c>
      <c r="F87" s="1" t="s">
        <v>52</v>
      </c>
      <c r="G87" s="26" t="n">
        <v>0.6875</v>
      </c>
      <c r="H87" s="26" t="n">
        <v>0.729166666666667</v>
      </c>
      <c r="I87" s="1" t="n">
        <v>60</v>
      </c>
      <c r="J87" s="1" t="s">
        <v>69</v>
      </c>
      <c r="K87" s="27" t="s">
        <v>54</v>
      </c>
      <c r="L87" s="1" t="str">
        <f aca="false">TEXT(A87,"mmm-yyyy")</f>
        <v>Jun-2026</v>
      </c>
      <c r="M87" s="28" t="n">
        <f aca="false">DATE(YEAR(A87),MONTH(A87),1)</f>
        <v>46174</v>
      </c>
    </row>
    <row r="88" customFormat="false" ht="14.25" hidden="false" customHeight="true" outlineLevel="0" collapsed="false">
      <c r="A88" s="25" t="n">
        <v>46200</v>
      </c>
      <c r="B88" s="1" t="s">
        <v>2</v>
      </c>
      <c r="C88" s="1" t="s">
        <v>66</v>
      </c>
      <c r="D88" s="1" t="s">
        <v>50</v>
      </c>
      <c r="E88" s="1" t="s">
        <v>67</v>
      </c>
      <c r="F88" s="1" t="s">
        <v>70</v>
      </c>
      <c r="G88" s="26" t="n">
        <v>0.520833333333333</v>
      </c>
      <c r="H88" s="26" t="n">
        <v>0.572916666666667</v>
      </c>
      <c r="I88" s="1" t="n">
        <v>75</v>
      </c>
      <c r="J88" s="1" t="s">
        <v>69</v>
      </c>
      <c r="K88" s="27" t="s">
        <v>54</v>
      </c>
      <c r="L88" s="1" t="str">
        <f aca="false">TEXT(A88,"mmm-yyyy")</f>
        <v>Jun-2026</v>
      </c>
      <c r="M88" s="28" t="n">
        <f aca="false">DATE(YEAR(A88),MONTH(A88),1)</f>
        <v>46174</v>
      </c>
    </row>
    <row r="89" customFormat="false" ht="14.25" hidden="false" customHeight="true" outlineLevel="0" collapsed="false">
      <c r="A89" s="25" t="n">
        <v>46201</v>
      </c>
      <c r="B89" s="1" t="s">
        <v>73</v>
      </c>
      <c r="C89" s="1" t="s">
        <v>56</v>
      </c>
      <c r="D89" s="1" t="s">
        <v>50</v>
      </c>
      <c r="E89" s="1" t="s">
        <v>57</v>
      </c>
      <c r="F89" s="1" t="s">
        <v>70</v>
      </c>
      <c r="G89" s="26" t="n">
        <v>0.5</v>
      </c>
      <c r="H89" s="26" t="n">
        <v>0.547916666666667</v>
      </c>
      <c r="I89" s="1" t="n">
        <v>69</v>
      </c>
      <c r="J89" s="1" t="s">
        <v>69</v>
      </c>
      <c r="K89" s="27" t="s">
        <v>54</v>
      </c>
      <c r="L89" s="1" t="str">
        <f aca="false">TEXT(A89,"mmm-yyyy")</f>
        <v>Jun-2026</v>
      </c>
      <c r="M89" s="28" t="n">
        <f aca="false">DATE(YEAR(A89),MONTH(A89),1)</f>
        <v>46174</v>
      </c>
    </row>
    <row r="90" customFormat="false" ht="14.25" hidden="false" customHeight="true" outlineLevel="0" collapsed="false">
      <c r="A90" s="25" t="n">
        <v>46202</v>
      </c>
      <c r="B90" s="1" t="s">
        <v>63</v>
      </c>
      <c r="C90" s="1" t="s">
        <v>66</v>
      </c>
      <c r="D90" s="1" t="s">
        <v>74</v>
      </c>
      <c r="E90" s="1" t="s">
        <v>67</v>
      </c>
      <c r="F90" s="1" t="s">
        <v>70</v>
      </c>
      <c r="G90" s="26" t="n">
        <v>0.520833333333333</v>
      </c>
      <c r="H90" s="26" t="n">
        <v>0.555555555555556</v>
      </c>
      <c r="I90" s="1" t="n">
        <v>50</v>
      </c>
      <c r="J90" s="1" t="s">
        <v>61</v>
      </c>
      <c r="K90" s="27" t="s">
        <v>54</v>
      </c>
      <c r="L90" s="1" t="str">
        <f aca="false">TEXT(A90,"mmm-yyyy")</f>
        <v>Jun-2026</v>
      </c>
      <c r="M90" s="28" t="n">
        <f aca="false">DATE(YEAR(A90),MONTH(A90),1)</f>
        <v>46174</v>
      </c>
    </row>
    <row r="91" customFormat="false" ht="14.25" hidden="false" customHeight="true" outlineLevel="0" collapsed="false">
      <c r="A91" s="25" t="n">
        <v>46203</v>
      </c>
      <c r="B91" s="1" t="s">
        <v>73</v>
      </c>
      <c r="C91" s="1" t="s">
        <v>56</v>
      </c>
      <c r="D91" s="1" t="s">
        <v>74</v>
      </c>
      <c r="E91" s="1" t="s">
        <v>57</v>
      </c>
      <c r="F91" s="1" t="s">
        <v>52</v>
      </c>
      <c r="G91" s="26" t="n">
        <v>0.46875</v>
      </c>
      <c r="H91" s="26" t="n">
        <v>0.492361111111111</v>
      </c>
      <c r="I91" s="1" t="n">
        <v>34</v>
      </c>
      <c r="J91" s="1" t="s">
        <v>53</v>
      </c>
      <c r="K91" s="27" t="s">
        <v>54</v>
      </c>
      <c r="L91" s="1" t="str">
        <f aca="false">TEXT(A91,"mmm-yyyy")</f>
        <v>Jun-2026</v>
      </c>
      <c r="M91" s="28" t="n">
        <f aca="false">DATE(YEAR(A91),MONTH(A91),1)</f>
        <v>46174</v>
      </c>
    </row>
    <row r="92" customFormat="false" ht="14.25" hidden="false" customHeight="true" outlineLevel="0" collapsed="false">
      <c r="A92" s="25" t="n">
        <v>46174</v>
      </c>
      <c r="B92" s="1" t="s">
        <v>55</v>
      </c>
      <c r="C92" s="1" t="s">
        <v>64</v>
      </c>
      <c r="D92" s="1" t="s">
        <v>74</v>
      </c>
      <c r="E92" s="1" t="s">
        <v>65</v>
      </c>
      <c r="F92" s="1" t="s">
        <v>52</v>
      </c>
      <c r="G92" s="26" t="n">
        <v>0.4375</v>
      </c>
      <c r="H92" s="26" t="n">
        <v>0.520833333333333</v>
      </c>
      <c r="I92" s="1" t="n">
        <v>120</v>
      </c>
      <c r="J92" s="1" t="s">
        <v>59</v>
      </c>
      <c r="K92" s="27" t="s">
        <v>54</v>
      </c>
      <c r="L92" s="1" t="str">
        <f aca="false">TEXT(A92,"mmm-yyyy")</f>
        <v>Jun-2026</v>
      </c>
      <c r="M92" s="28" t="n">
        <f aca="false">DATE(YEAR(A92),MONTH(A92),1)</f>
        <v>46174</v>
      </c>
    </row>
    <row r="93" customFormat="false" ht="14.25" hidden="false" customHeight="true" outlineLevel="0" collapsed="false">
      <c r="A93" s="25" t="n">
        <v>46175</v>
      </c>
      <c r="B93" s="1" t="s">
        <v>55</v>
      </c>
      <c r="C93" s="1" t="s">
        <v>66</v>
      </c>
      <c r="D93" s="1" t="s">
        <v>60</v>
      </c>
      <c r="E93" s="1" t="s">
        <v>67</v>
      </c>
      <c r="F93" s="1" t="s">
        <v>70</v>
      </c>
      <c r="G93" s="26" t="n">
        <v>0.458333333333333</v>
      </c>
      <c r="H93" s="26" t="n">
        <v>0.510416666666667</v>
      </c>
      <c r="I93" s="1" t="n">
        <v>75</v>
      </c>
      <c r="J93" s="1" t="s">
        <v>69</v>
      </c>
      <c r="K93" s="27" t="s">
        <v>54</v>
      </c>
      <c r="L93" s="1" t="str">
        <f aca="false">TEXT(A93,"mmm-yyyy")</f>
        <v>Jun-2026</v>
      </c>
      <c r="M93" s="28" t="n">
        <f aca="false">DATE(YEAR(A93),MONTH(A93),1)</f>
        <v>46174</v>
      </c>
    </row>
    <row r="94" customFormat="false" ht="14.25" hidden="false" customHeight="true" outlineLevel="0" collapsed="false">
      <c r="A94" s="25" t="n">
        <v>46176</v>
      </c>
      <c r="B94" s="1" t="s">
        <v>73</v>
      </c>
      <c r="C94" s="1" t="s">
        <v>66</v>
      </c>
      <c r="D94" s="1" t="s">
        <v>60</v>
      </c>
      <c r="E94" s="1" t="s">
        <v>67</v>
      </c>
      <c r="F94" s="1" t="s">
        <v>58</v>
      </c>
      <c r="G94" s="26" t="n">
        <v>0.645833333333333</v>
      </c>
      <c r="H94" s="26" t="n">
        <v>0.694444444444444</v>
      </c>
      <c r="I94" s="1" t="n">
        <v>70</v>
      </c>
      <c r="J94" s="1" t="s">
        <v>61</v>
      </c>
      <c r="K94" s="27" t="s">
        <v>54</v>
      </c>
      <c r="L94" s="1" t="str">
        <f aca="false">TEXT(A94,"mmm-yyyy")</f>
        <v>Jun-2026</v>
      </c>
      <c r="M94" s="28" t="n">
        <f aca="false">DATE(YEAR(A94),MONTH(A94),1)</f>
        <v>46174</v>
      </c>
    </row>
    <row r="95" customFormat="false" ht="14.25" hidden="false" customHeight="true" outlineLevel="0" collapsed="false">
      <c r="A95" s="25" t="n">
        <v>46177</v>
      </c>
      <c r="B95" s="1" t="s">
        <v>68</v>
      </c>
      <c r="C95" s="1" t="s">
        <v>49</v>
      </c>
      <c r="D95" s="1" t="s">
        <v>62</v>
      </c>
      <c r="E95" s="1" t="s">
        <v>51</v>
      </c>
      <c r="F95" s="1" t="s">
        <v>52</v>
      </c>
      <c r="G95" s="26" t="n">
        <v>0.46875</v>
      </c>
      <c r="H95" s="26" t="n">
        <v>0.540972222222222</v>
      </c>
      <c r="I95" s="1" t="n">
        <v>104</v>
      </c>
      <c r="J95" s="1" t="s">
        <v>69</v>
      </c>
      <c r="K95" s="27" t="s">
        <v>54</v>
      </c>
      <c r="L95" s="1" t="str">
        <f aca="false">TEXT(A95,"mmm-yyyy")</f>
        <v>Jun-2026</v>
      </c>
      <c r="M95" s="28" t="n">
        <f aca="false">DATE(YEAR(A95),MONTH(A95),1)</f>
        <v>46174</v>
      </c>
    </row>
    <row r="96" customFormat="false" ht="14.25" hidden="false" customHeight="true" outlineLevel="0" collapsed="false">
      <c r="A96" s="25" t="n">
        <v>46178</v>
      </c>
      <c r="B96" s="1" t="s">
        <v>63</v>
      </c>
      <c r="C96" s="1" t="s">
        <v>56</v>
      </c>
      <c r="D96" s="1" t="s">
        <v>60</v>
      </c>
      <c r="E96" s="1" t="s">
        <v>57</v>
      </c>
      <c r="F96" s="1" t="s">
        <v>70</v>
      </c>
      <c r="G96" s="26" t="n">
        <v>0.697916666666667</v>
      </c>
      <c r="H96" s="26" t="n">
        <v>0.765972222222222</v>
      </c>
      <c r="I96" s="1" t="n">
        <v>98</v>
      </c>
      <c r="J96" s="1" t="s">
        <v>53</v>
      </c>
      <c r="K96" s="27" t="s">
        <v>54</v>
      </c>
      <c r="L96" s="1" t="str">
        <f aca="false">TEXT(A96,"mmm-yyyy")</f>
        <v>Jun-2026</v>
      </c>
      <c r="M96" s="28" t="n">
        <f aca="false">DATE(YEAR(A96),MONTH(A96),1)</f>
        <v>46174</v>
      </c>
    </row>
    <row r="97" customFormat="false" ht="14.25" hidden="false" customHeight="true" outlineLevel="0" collapsed="false">
      <c r="A97" s="25" t="n">
        <v>46179</v>
      </c>
      <c r="B97" s="1" t="s">
        <v>68</v>
      </c>
      <c r="C97" s="1" t="s">
        <v>71</v>
      </c>
      <c r="D97" s="1" t="s">
        <v>50</v>
      </c>
      <c r="E97" s="1" t="s">
        <v>72</v>
      </c>
      <c r="F97" s="1" t="s">
        <v>52</v>
      </c>
      <c r="G97" s="26" t="n">
        <v>0.416666666666667</v>
      </c>
      <c r="H97" s="26" t="n">
        <v>0.465277777777778</v>
      </c>
      <c r="I97" s="1" t="n">
        <v>70</v>
      </c>
      <c r="J97" s="1" t="s">
        <v>53</v>
      </c>
      <c r="K97" s="27" t="s">
        <v>54</v>
      </c>
      <c r="L97" s="1" t="str">
        <f aca="false">TEXT(A97,"mmm-yyyy")</f>
        <v>Jun-2026</v>
      </c>
      <c r="M97" s="28" t="n">
        <f aca="false">DATE(YEAR(A97),MONTH(A97),1)</f>
        <v>46174</v>
      </c>
    </row>
    <row r="98" customFormat="false" ht="14.25" hidden="false" customHeight="true" outlineLevel="0" collapsed="false">
      <c r="A98" s="25" t="n">
        <v>46180</v>
      </c>
      <c r="B98" s="1" t="s">
        <v>55</v>
      </c>
      <c r="C98" s="1" t="s">
        <v>49</v>
      </c>
      <c r="D98" s="1" t="s">
        <v>60</v>
      </c>
      <c r="E98" s="1" t="s">
        <v>51</v>
      </c>
      <c r="F98" s="1" t="s">
        <v>70</v>
      </c>
      <c r="G98" s="26" t="n">
        <v>0.4375</v>
      </c>
      <c r="H98" s="26" t="n">
        <v>0.468055555555556</v>
      </c>
      <c r="I98" s="1" t="n">
        <v>44</v>
      </c>
      <c r="J98" s="1" t="s">
        <v>53</v>
      </c>
      <c r="K98" s="27" t="s">
        <v>54</v>
      </c>
      <c r="L98" s="1" t="str">
        <f aca="false">TEXT(A98,"mmm-yyyy")</f>
        <v>Jun-2026</v>
      </c>
      <c r="M98" s="28" t="n">
        <f aca="false">DATE(YEAR(A98),MONTH(A98),1)</f>
        <v>46174</v>
      </c>
    </row>
    <row r="99" customFormat="false" ht="14.25" hidden="false" customHeight="true" outlineLevel="0" collapsed="false">
      <c r="A99" s="25" t="n">
        <v>46181</v>
      </c>
      <c r="B99" s="1" t="s">
        <v>68</v>
      </c>
      <c r="C99" s="1" t="s">
        <v>64</v>
      </c>
      <c r="D99" s="1" t="s">
        <v>60</v>
      </c>
      <c r="E99" s="1" t="s">
        <v>65</v>
      </c>
      <c r="F99" s="1" t="s">
        <v>70</v>
      </c>
      <c r="G99" s="26" t="n">
        <v>0.4375</v>
      </c>
      <c r="H99" s="26" t="n">
        <v>0.514583333333333</v>
      </c>
      <c r="I99" s="1" t="n">
        <v>111</v>
      </c>
      <c r="J99" s="1" t="s">
        <v>59</v>
      </c>
      <c r="K99" s="27" t="s">
        <v>54</v>
      </c>
      <c r="L99" s="1" t="str">
        <f aca="false">TEXT(A99,"mmm-yyyy")</f>
        <v>Jun-2026</v>
      </c>
      <c r="M99" s="28" t="n">
        <f aca="false">DATE(YEAR(A99),MONTH(A99),1)</f>
        <v>46174</v>
      </c>
    </row>
    <row r="100" customFormat="false" ht="14.25" hidden="false" customHeight="true" outlineLevel="0" collapsed="false">
      <c r="A100" s="25" t="n">
        <v>46182</v>
      </c>
      <c r="B100" s="1" t="s">
        <v>63</v>
      </c>
      <c r="C100" s="1" t="s">
        <v>56</v>
      </c>
      <c r="D100" s="1" t="s">
        <v>62</v>
      </c>
      <c r="E100" s="1" t="s">
        <v>57</v>
      </c>
      <c r="F100" s="1" t="s">
        <v>52</v>
      </c>
      <c r="G100" s="26" t="n">
        <v>0.479166666666667</v>
      </c>
      <c r="H100" s="26" t="n">
        <v>0.50625</v>
      </c>
      <c r="I100" s="1" t="n">
        <v>39</v>
      </c>
      <c r="J100" s="1" t="s">
        <v>61</v>
      </c>
      <c r="K100" s="27" t="s">
        <v>54</v>
      </c>
      <c r="L100" s="1" t="str">
        <f aca="false">TEXT(A100,"mmm-yyyy")</f>
        <v>Jun-2026</v>
      </c>
      <c r="M100" s="28" t="n">
        <f aca="false">DATE(YEAR(A100),MONTH(A100),1)</f>
        <v>46174</v>
      </c>
    </row>
    <row r="101" customFormat="false" ht="14.25" hidden="false" customHeight="true" outlineLevel="0" collapsed="false">
      <c r="A101" s="25" t="n">
        <v>46183</v>
      </c>
      <c r="B101" s="1" t="s">
        <v>68</v>
      </c>
      <c r="C101" s="1" t="s">
        <v>66</v>
      </c>
      <c r="D101" s="1" t="s">
        <v>50</v>
      </c>
      <c r="E101" s="1" t="s">
        <v>67</v>
      </c>
      <c r="F101" s="1" t="s">
        <v>70</v>
      </c>
      <c r="G101" s="26" t="n">
        <v>0.697916666666667</v>
      </c>
      <c r="H101" s="26" t="n">
        <v>0.7375</v>
      </c>
      <c r="I101" s="1" t="n">
        <v>57</v>
      </c>
      <c r="J101" s="1" t="s">
        <v>61</v>
      </c>
      <c r="K101" s="27" t="s">
        <v>54</v>
      </c>
      <c r="L101" s="1" t="str">
        <f aca="false">TEXT(A101,"mmm-yyyy")</f>
        <v>Jun-2026</v>
      </c>
      <c r="M101" s="28" t="n">
        <f aca="false">DATE(YEAR(A101),MONTH(A101),1)</f>
        <v>46174</v>
      </c>
    </row>
    <row r="102" customFormat="false" ht="14.25" hidden="false" customHeight="true" outlineLevel="0" collapsed="false">
      <c r="A102" s="25" t="n">
        <v>46184</v>
      </c>
      <c r="B102" s="1" t="s">
        <v>68</v>
      </c>
      <c r="C102" s="1" t="s">
        <v>64</v>
      </c>
      <c r="D102" s="1" t="s">
        <v>62</v>
      </c>
      <c r="E102" s="1" t="s">
        <v>65</v>
      </c>
      <c r="F102" s="1" t="s">
        <v>52</v>
      </c>
      <c r="G102" s="26" t="n">
        <v>0.46875</v>
      </c>
      <c r="H102" s="26" t="n">
        <v>0.5</v>
      </c>
      <c r="I102" s="1" t="n">
        <v>45</v>
      </c>
      <c r="J102" s="1" t="s">
        <v>53</v>
      </c>
      <c r="K102" s="27" t="s">
        <v>54</v>
      </c>
      <c r="L102" s="1" t="str">
        <f aca="false">TEXT(A102,"mmm-yyyy")</f>
        <v>Jun-2026</v>
      </c>
      <c r="M102" s="28" t="n">
        <f aca="false">DATE(YEAR(A102),MONTH(A102),1)</f>
        <v>46174</v>
      </c>
    </row>
    <row r="103" customFormat="false" ht="14.25" hidden="false" customHeight="true" outlineLevel="0" collapsed="false">
      <c r="A103" s="25" t="n">
        <v>46185</v>
      </c>
      <c r="B103" s="1" t="s">
        <v>2</v>
      </c>
      <c r="C103" s="1" t="s">
        <v>49</v>
      </c>
      <c r="D103" s="1" t="s">
        <v>50</v>
      </c>
      <c r="E103" s="1" t="s">
        <v>51</v>
      </c>
      <c r="F103" s="1" t="s">
        <v>70</v>
      </c>
      <c r="G103" s="26" t="n">
        <v>0.625</v>
      </c>
      <c r="H103" s="26" t="n">
        <v>0.671527777777778</v>
      </c>
      <c r="I103" s="1" t="n">
        <v>67</v>
      </c>
      <c r="J103" s="1" t="s">
        <v>61</v>
      </c>
      <c r="K103" s="27" t="s">
        <v>54</v>
      </c>
      <c r="L103" s="1" t="str">
        <f aca="false">TEXT(A103,"mmm-yyyy")</f>
        <v>Jun-2026</v>
      </c>
      <c r="M103" s="28" t="n">
        <f aca="false">DATE(YEAR(A103),MONTH(A103),1)</f>
        <v>46174</v>
      </c>
    </row>
    <row r="104" customFormat="false" ht="14.25" hidden="false" customHeight="true" outlineLevel="0" collapsed="false">
      <c r="A104" s="25" t="n">
        <v>46186</v>
      </c>
      <c r="B104" s="1" t="s">
        <v>55</v>
      </c>
      <c r="C104" s="1" t="s">
        <v>71</v>
      </c>
      <c r="D104" s="1" t="s">
        <v>60</v>
      </c>
      <c r="E104" s="1" t="s">
        <v>72</v>
      </c>
      <c r="F104" s="1" t="s">
        <v>70</v>
      </c>
      <c r="G104" s="26" t="n">
        <v>0.666666666666667</v>
      </c>
      <c r="H104" s="26" t="n">
        <v>0.7375</v>
      </c>
      <c r="I104" s="1" t="n">
        <v>102</v>
      </c>
      <c r="J104" s="1" t="s">
        <v>53</v>
      </c>
      <c r="K104" s="27" t="s">
        <v>54</v>
      </c>
      <c r="L104" s="1" t="str">
        <f aca="false">TEXT(A104,"mmm-yyyy")</f>
        <v>Jun-2026</v>
      </c>
      <c r="M104" s="28" t="n">
        <f aca="false">DATE(YEAR(A104),MONTH(A104),1)</f>
        <v>46174</v>
      </c>
    </row>
    <row r="105" customFormat="false" ht="14.25" hidden="false" customHeight="true" outlineLevel="0" collapsed="false">
      <c r="A105" s="25" t="n">
        <v>46187</v>
      </c>
      <c r="B105" s="1" t="s">
        <v>55</v>
      </c>
      <c r="C105" s="1" t="s">
        <v>49</v>
      </c>
      <c r="D105" s="1" t="s">
        <v>60</v>
      </c>
      <c r="E105" s="1" t="s">
        <v>51</v>
      </c>
      <c r="F105" s="1" t="s">
        <v>52</v>
      </c>
      <c r="G105" s="26" t="n">
        <v>0.5</v>
      </c>
      <c r="H105" s="26" t="n">
        <v>0.522916666666667</v>
      </c>
      <c r="I105" s="1" t="n">
        <v>33</v>
      </c>
      <c r="J105" s="1" t="s">
        <v>53</v>
      </c>
      <c r="K105" s="27" t="s">
        <v>54</v>
      </c>
      <c r="L105" s="1" t="str">
        <f aca="false">TEXT(A105,"mmm-yyyy")</f>
        <v>Jun-2026</v>
      </c>
      <c r="M105" s="28" t="n">
        <f aca="false">DATE(YEAR(A105),MONTH(A105),1)</f>
        <v>46174</v>
      </c>
    </row>
    <row r="106" customFormat="false" ht="14.25" hidden="false" customHeight="true" outlineLevel="0" collapsed="false">
      <c r="A106" s="25" t="n">
        <v>46188</v>
      </c>
      <c r="B106" s="1" t="s">
        <v>2</v>
      </c>
      <c r="C106" s="1" t="s">
        <v>71</v>
      </c>
      <c r="D106" s="1" t="s">
        <v>50</v>
      </c>
      <c r="E106" s="1" t="s">
        <v>72</v>
      </c>
      <c r="F106" s="1" t="s">
        <v>52</v>
      </c>
      <c r="G106" s="26" t="n">
        <v>0.6875</v>
      </c>
      <c r="H106" s="26" t="n">
        <v>0.745138888888889</v>
      </c>
      <c r="I106" s="1" t="n">
        <v>83</v>
      </c>
      <c r="J106" s="1" t="s">
        <v>53</v>
      </c>
      <c r="K106" s="27" t="s">
        <v>54</v>
      </c>
      <c r="L106" s="1" t="str">
        <f aca="false">TEXT(A106,"mmm-yyyy")</f>
        <v>Jun-2026</v>
      </c>
      <c r="M106" s="28" t="n">
        <f aca="false">DATE(YEAR(A106),MONTH(A106),1)</f>
        <v>46174</v>
      </c>
    </row>
    <row r="107" customFormat="false" ht="14.25" hidden="false" customHeight="true" outlineLevel="0" collapsed="false">
      <c r="A107" s="25" t="n">
        <v>46189</v>
      </c>
      <c r="B107" s="1" t="s">
        <v>73</v>
      </c>
      <c r="C107" s="1" t="s">
        <v>56</v>
      </c>
      <c r="D107" s="1" t="s">
        <v>50</v>
      </c>
      <c r="E107" s="1" t="s">
        <v>57</v>
      </c>
      <c r="F107" s="1" t="s">
        <v>58</v>
      </c>
      <c r="G107" s="26" t="n">
        <v>0.458333333333333</v>
      </c>
      <c r="H107" s="26" t="n">
        <v>0.53125</v>
      </c>
      <c r="I107" s="1" t="n">
        <v>105</v>
      </c>
      <c r="J107" s="1" t="s">
        <v>61</v>
      </c>
      <c r="K107" s="27" t="s">
        <v>54</v>
      </c>
      <c r="L107" s="1" t="str">
        <f aca="false">TEXT(A107,"mmm-yyyy")</f>
        <v>Jun-2026</v>
      </c>
      <c r="M107" s="28" t="n">
        <f aca="false">DATE(YEAR(A107),MONTH(A107),1)</f>
        <v>46174</v>
      </c>
    </row>
    <row r="108" customFormat="false" ht="14.25" hidden="false" customHeight="true" outlineLevel="0" collapsed="false">
      <c r="A108" s="25" t="n">
        <v>46190</v>
      </c>
      <c r="B108" s="1" t="s">
        <v>55</v>
      </c>
      <c r="C108" s="1" t="s">
        <v>64</v>
      </c>
      <c r="D108" s="1" t="s">
        <v>74</v>
      </c>
      <c r="E108" s="1" t="s">
        <v>65</v>
      </c>
      <c r="F108" s="1" t="s">
        <v>58</v>
      </c>
      <c r="G108" s="26" t="n">
        <v>0.458333333333333</v>
      </c>
      <c r="H108" s="26" t="n">
        <v>0.508333333333333</v>
      </c>
      <c r="I108" s="1" t="n">
        <v>72</v>
      </c>
      <c r="J108" s="1" t="s">
        <v>69</v>
      </c>
      <c r="K108" s="27" t="s">
        <v>54</v>
      </c>
      <c r="L108" s="1" t="str">
        <f aca="false">TEXT(A108,"mmm-yyyy")</f>
        <v>Jun-2026</v>
      </c>
      <c r="M108" s="28" t="n">
        <f aca="false">DATE(YEAR(A108),MONTH(A108),1)</f>
        <v>46174</v>
      </c>
    </row>
    <row r="109" customFormat="false" ht="14.25" hidden="false" customHeight="true" outlineLevel="0" collapsed="false">
      <c r="A109" s="25" t="n">
        <v>46191</v>
      </c>
      <c r="B109" s="1" t="s">
        <v>73</v>
      </c>
      <c r="C109" s="1" t="s">
        <v>71</v>
      </c>
      <c r="D109" s="1" t="s">
        <v>62</v>
      </c>
      <c r="E109" s="1" t="s">
        <v>72</v>
      </c>
      <c r="F109" s="1" t="s">
        <v>70</v>
      </c>
      <c r="G109" s="26" t="n">
        <v>0.520833333333333</v>
      </c>
      <c r="H109" s="26" t="n">
        <v>0.589583333333333</v>
      </c>
      <c r="I109" s="1" t="n">
        <v>99</v>
      </c>
      <c r="J109" s="1" t="s">
        <v>61</v>
      </c>
      <c r="K109" s="27" t="s">
        <v>54</v>
      </c>
      <c r="L109" s="1" t="str">
        <f aca="false">TEXT(A109,"mmm-yyyy")</f>
        <v>Jun-2026</v>
      </c>
      <c r="M109" s="28" t="n">
        <f aca="false">DATE(YEAR(A109),MONTH(A109),1)</f>
        <v>46174</v>
      </c>
    </row>
    <row r="110" customFormat="false" ht="14.25" hidden="false" customHeight="true" outlineLevel="0" collapsed="false">
      <c r="A110" s="25" t="n">
        <v>46192</v>
      </c>
      <c r="B110" s="1" t="s">
        <v>63</v>
      </c>
      <c r="C110" s="1" t="s">
        <v>56</v>
      </c>
      <c r="D110" s="1" t="s">
        <v>60</v>
      </c>
      <c r="E110" s="1" t="s">
        <v>57</v>
      </c>
      <c r="F110" s="1" t="s">
        <v>52</v>
      </c>
      <c r="G110" s="26" t="n">
        <v>0.510416666666667</v>
      </c>
      <c r="H110" s="26" t="n">
        <v>0.58125</v>
      </c>
      <c r="I110" s="1" t="n">
        <v>102</v>
      </c>
      <c r="J110" s="1" t="s">
        <v>53</v>
      </c>
      <c r="K110" s="27" t="s">
        <v>54</v>
      </c>
      <c r="L110" s="1" t="str">
        <f aca="false">TEXT(A110,"mmm-yyyy")</f>
        <v>Jun-2026</v>
      </c>
      <c r="M110" s="28" t="n">
        <f aca="false">DATE(YEAR(A110),MONTH(A110),1)</f>
        <v>46174</v>
      </c>
    </row>
    <row r="111" customFormat="false" ht="14.25" hidden="false" customHeight="true" outlineLevel="0" collapsed="false">
      <c r="A111" s="25" t="n">
        <v>46193</v>
      </c>
      <c r="B111" s="1" t="s">
        <v>63</v>
      </c>
      <c r="C111" s="1" t="s">
        <v>64</v>
      </c>
      <c r="D111" s="1" t="s">
        <v>60</v>
      </c>
      <c r="E111" s="1" t="s">
        <v>65</v>
      </c>
      <c r="F111" s="1" t="s">
        <v>70</v>
      </c>
      <c r="G111" s="26" t="n">
        <v>0.5625</v>
      </c>
      <c r="H111" s="26" t="n">
        <v>0.579861111111111</v>
      </c>
      <c r="I111" s="1" t="n">
        <v>25</v>
      </c>
      <c r="J111" s="1" t="s">
        <v>61</v>
      </c>
      <c r="K111" s="27" t="s">
        <v>54</v>
      </c>
      <c r="L111" s="1" t="str">
        <f aca="false">TEXT(A111,"mmm-yyyy")</f>
        <v>Jun-2026</v>
      </c>
      <c r="M111" s="28" t="n">
        <f aca="false">DATE(YEAR(A111),MONTH(A111),1)</f>
        <v>46174</v>
      </c>
    </row>
    <row r="112" customFormat="false" ht="14.25" hidden="false" customHeight="true" outlineLevel="0" collapsed="false">
      <c r="A112" s="25" t="n">
        <v>46194</v>
      </c>
      <c r="B112" s="1" t="s">
        <v>63</v>
      </c>
      <c r="C112" s="1" t="s">
        <v>64</v>
      </c>
      <c r="D112" s="1" t="s">
        <v>74</v>
      </c>
      <c r="E112" s="1" t="s">
        <v>65</v>
      </c>
      <c r="F112" s="1" t="s">
        <v>52</v>
      </c>
      <c r="G112" s="26" t="n">
        <v>0.635416666666667</v>
      </c>
      <c r="H112" s="26" t="n">
        <v>0.677083333333333</v>
      </c>
      <c r="I112" s="1" t="n">
        <v>60</v>
      </c>
      <c r="J112" s="1" t="s">
        <v>69</v>
      </c>
      <c r="K112" s="27" t="s">
        <v>54</v>
      </c>
      <c r="L112" s="1" t="str">
        <f aca="false">TEXT(A112,"mmm-yyyy")</f>
        <v>Jun-2026</v>
      </c>
      <c r="M112" s="28" t="n">
        <f aca="false">DATE(YEAR(A112),MONTH(A112),1)</f>
        <v>46174</v>
      </c>
    </row>
    <row r="113" customFormat="false" ht="14.25" hidden="false" customHeight="true" outlineLevel="0" collapsed="false">
      <c r="A113" s="25" t="n">
        <v>46195</v>
      </c>
      <c r="B113" s="1" t="s">
        <v>68</v>
      </c>
      <c r="C113" s="1" t="s">
        <v>56</v>
      </c>
      <c r="D113" s="1" t="s">
        <v>62</v>
      </c>
      <c r="E113" s="1" t="s">
        <v>57</v>
      </c>
      <c r="F113" s="1" t="s">
        <v>70</v>
      </c>
      <c r="G113" s="26" t="n">
        <v>0.458333333333333</v>
      </c>
      <c r="H113" s="26" t="n">
        <v>0.48125</v>
      </c>
      <c r="I113" s="1" t="n">
        <v>33</v>
      </c>
      <c r="J113" s="1" t="s">
        <v>59</v>
      </c>
      <c r="K113" s="27" t="s">
        <v>54</v>
      </c>
      <c r="L113" s="1" t="str">
        <f aca="false">TEXT(A113,"mmm-yyyy")</f>
        <v>Jun-2026</v>
      </c>
      <c r="M113" s="28" t="n">
        <f aca="false">DATE(YEAR(A113),MONTH(A113),1)</f>
        <v>46174</v>
      </c>
    </row>
    <row r="114" customFormat="false" ht="14.25" hidden="false" customHeight="true" outlineLevel="0" collapsed="false">
      <c r="A114" s="25" t="n">
        <v>46196</v>
      </c>
      <c r="B114" s="1" t="s">
        <v>2</v>
      </c>
      <c r="C114" s="1" t="s">
        <v>49</v>
      </c>
      <c r="D114" s="1" t="s">
        <v>60</v>
      </c>
      <c r="E114" s="1" t="s">
        <v>51</v>
      </c>
      <c r="F114" s="1" t="s">
        <v>58</v>
      </c>
      <c r="G114" s="26" t="n">
        <v>0.677083333333333</v>
      </c>
      <c r="H114" s="26" t="n">
        <v>0.720833333333333</v>
      </c>
      <c r="I114" s="1" t="n">
        <v>63</v>
      </c>
      <c r="J114" s="1" t="s">
        <v>53</v>
      </c>
      <c r="K114" s="27" t="s">
        <v>54</v>
      </c>
      <c r="L114" s="1" t="str">
        <f aca="false">TEXT(A114,"mmm-yyyy")</f>
        <v>Jun-2026</v>
      </c>
      <c r="M114" s="28" t="n">
        <f aca="false">DATE(YEAR(A114),MONTH(A114),1)</f>
        <v>46174</v>
      </c>
    </row>
    <row r="115" customFormat="false" ht="14.25" hidden="false" customHeight="true" outlineLevel="0" collapsed="false">
      <c r="A115" s="25" t="n">
        <v>46197</v>
      </c>
      <c r="B115" s="1" t="s">
        <v>73</v>
      </c>
      <c r="C115" s="1" t="s">
        <v>71</v>
      </c>
      <c r="D115" s="1" t="s">
        <v>60</v>
      </c>
      <c r="E115" s="1" t="s">
        <v>72</v>
      </c>
      <c r="F115" s="1" t="s">
        <v>70</v>
      </c>
      <c r="G115" s="26" t="n">
        <v>0.59375</v>
      </c>
      <c r="H115" s="26" t="n">
        <v>0.6125</v>
      </c>
      <c r="I115" s="1" t="n">
        <v>27</v>
      </c>
      <c r="J115" s="1" t="s">
        <v>59</v>
      </c>
      <c r="K115" s="27" t="s">
        <v>54</v>
      </c>
      <c r="L115" s="1" t="str">
        <f aca="false">TEXT(A115,"mmm-yyyy")</f>
        <v>Jun-2026</v>
      </c>
      <c r="M115" s="28" t="n">
        <f aca="false">DATE(YEAR(A115),MONTH(A115),1)</f>
        <v>46174</v>
      </c>
    </row>
    <row r="116" customFormat="false" ht="14.25" hidden="false" customHeight="true" outlineLevel="0" collapsed="false">
      <c r="A116" s="25" t="n">
        <v>46198</v>
      </c>
      <c r="B116" s="1" t="s">
        <v>55</v>
      </c>
      <c r="C116" s="1" t="s">
        <v>49</v>
      </c>
      <c r="D116" s="1" t="s">
        <v>60</v>
      </c>
      <c r="E116" s="1" t="s">
        <v>51</v>
      </c>
      <c r="F116" s="1" t="s">
        <v>52</v>
      </c>
      <c r="G116" s="26" t="n">
        <v>0.541666666666667</v>
      </c>
      <c r="H116" s="26" t="n">
        <v>0.613194444444445</v>
      </c>
      <c r="I116" s="1" t="n">
        <v>103</v>
      </c>
      <c r="J116" s="1" t="s">
        <v>53</v>
      </c>
      <c r="K116" s="27" t="s">
        <v>54</v>
      </c>
      <c r="L116" s="1" t="str">
        <f aca="false">TEXT(A116,"mmm-yyyy")</f>
        <v>Jun-2026</v>
      </c>
      <c r="M116" s="28" t="n">
        <f aca="false">DATE(YEAR(A116),MONTH(A116),1)</f>
        <v>46174</v>
      </c>
    </row>
    <row r="117" customFormat="false" ht="14.25" hidden="false" customHeight="true" outlineLevel="0" collapsed="false">
      <c r="A117" s="25" t="n">
        <v>46199</v>
      </c>
      <c r="B117" s="1" t="s">
        <v>63</v>
      </c>
      <c r="C117" s="1" t="s">
        <v>56</v>
      </c>
      <c r="D117" s="1" t="s">
        <v>60</v>
      </c>
      <c r="E117" s="1" t="s">
        <v>57</v>
      </c>
      <c r="F117" s="1" t="s">
        <v>70</v>
      </c>
      <c r="G117" s="26" t="n">
        <v>0.572916666666667</v>
      </c>
      <c r="H117" s="26" t="n">
        <v>0.607638888888889</v>
      </c>
      <c r="I117" s="1" t="n">
        <v>50</v>
      </c>
      <c r="J117" s="1" t="s">
        <v>53</v>
      </c>
      <c r="K117" s="27" t="s">
        <v>54</v>
      </c>
      <c r="L117" s="1" t="str">
        <f aca="false">TEXT(A117,"mmm-yyyy")</f>
        <v>Jun-2026</v>
      </c>
      <c r="M117" s="28" t="n">
        <f aca="false">DATE(YEAR(A117),MONTH(A117),1)</f>
        <v>46174</v>
      </c>
    </row>
    <row r="118" customFormat="false" ht="14.25" hidden="false" customHeight="true" outlineLevel="0" collapsed="false">
      <c r="A118" s="25" t="n">
        <v>46200</v>
      </c>
      <c r="B118" s="1" t="s">
        <v>63</v>
      </c>
      <c r="C118" s="1" t="s">
        <v>64</v>
      </c>
      <c r="D118" s="1" t="s">
        <v>60</v>
      </c>
      <c r="E118" s="1" t="s">
        <v>65</v>
      </c>
      <c r="F118" s="1" t="s">
        <v>58</v>
      </c>
      <c r="G118" s="26" t="n">
        <v>0.385416666666667</v>
      </c>
      <c r="H118" s="26" t="n">
        <v>0.418055555555556</v>
      </c>
      <c r="I118" s="1" t="n">
        <v>47</v>
      </c>
      <c r="J118" s="1" t="s">
        <v>69</v>
      </c>
      <c r="K118" s="27" t="s">
        <v>54</v>
      </c>
      <c r="L118" s="1" t="str">
        <f aca="false">TEXT(A118,"mmm-yyyy")</f>
        <v>Jun-2026</v>
      </c>
      <c r="M118" s="28" t="n">
        <f aca="false">DATE(YEAR(A118),MONTH(A118),1)</f>
        <v>46174</v>
      </c>
    </row>
    <row r="119" customFormat="false" ht="14.25" hidden="false" customHeight="true" outlineLevel="0" collapsed="false">
      <c r="A119" s="25" t="n">
        <v>46201</v>
      </c>
      <c r="B119" s="1" t="s">
        <v>63</v>
      </c>
      <c r="C119" s="1" t="s">
        <v>71</v>
      </c>
      <c r="D119" s="1" t="s">
        <v>60</v>
      </c>
      <c r="E119" s="1" t="s">
        <v>72</v>
      </c>
      <c r="F119" s="1" t="s">
        <v>52</v>
      </c>
      <c r="G119" s="26" t="n">
        <v>0.416666666666667</v>
      </c>
      <c r="H119" s="26" t="n">
        <v>0.494444444444445</v>
      </c>
      <c r="I119" s="1" t="n">
        <v>112</v>
      </c>
      <c r="J119" s="1" t="s">
        <v>69</v>
      </c>
      <c r="K119" s="27" t="s">
        <v>54</v>
      </c>
      <c r="L119" s="1" t="str">
        <f aca="false">TEXT(A119,"mmm-yyyy")</f>
        <v>Jun-2026</v>
      </c>
      <c r="M119" s="28" t="n">
        <f aca="false">DATE(YEAR(A119),MONTH(A119),1)</f>
        <v>46174</v>
      </c>
    </row>
    <row r="120" customFormat="false" ht="14.25" hidden="false" customHeight="true" outlineLevel="0" collapsed="false">
      <c r="A120" s="25" t="n">
        <v>46202</v>
      </c>
      <c r="B120" s="1" t="s">
        <v>63</v>
      </c>
      <c r="C120" s="1" t="s">
        <v>66</v>
      </c>
      <c r="D120" s="1" t="s">
        <v>74</v>
      </c>
      <c r="E120" s="1" t="s">
        <v>67</v>
      </c>
      <c r="F120" s="1" t="s">
        <v>58</v>
      </c>
      <c r="G120" s="26" t="n">
        <v>0.479166666666667</v>
      </c>
      <c r="H120" s="26" t="n">
        <v>0.552777777777778</v>
      </c>
      <c r="I120" s="1" t="n">
        <v>106</v>
      </c>
      <c r="J120" s="1" t="s">
        <v>59</v>
      </c>
      <c r="K120" s="27" t="s">
        <v>54</v>
      </c>
      <c r="L120" s="1" t="str">
        <f aca="false">TEXT(A120,"mmm-yyyy")</f>
        <v>Jun-2026</v>
      </c>
      <c r="M120" s="28" t="n">
        <f aca="false">DATE(YEAR(A120),MONTH(A120),1)</f>
        <v>46174</v>
      </c>
    </row>
    <row r="121" customFormat="false" ht="14.25" hidden="false" customHeight="true" outlineLevel="0" collapsed="false">
      <c r="A121" s="25" t="n">
        <v>46203</v>
      </c>
      <c r="B121" s="1" t="s">
        <v>63</v>
      </c>
      <c r="C121" s="1" t="s">
        <v>66</v>
      </c>
      <c r="D121" s="1" t="s">
        <v>50</v>
      </c>
      <c r="E121" s="1" t="s">
        <v>67</v>
      </c>
      <c r="F121" s="1" t="s">
        <v>58</v>
      </c>
      <c r="G121" s="26" t="n">
        <v>0.572916666666667</v>
      </c>
      <c r="H121" s="26" t="n">
        <v>0.59375</v>
      </c>
      <c r="I121" s="1" t="n">
        <v>30</v>
      </c>
      <c r="J121" s="1" t="s">
        <v>61</v>
      </c>
      <c r="K121" s="27" t="s">
        <v>54</v>
      </c>
      <c r="L121" s="1" t="str">
        <f aca="false">TEXT(A121,"mmm-yyyy")</f>
        <v>Jun-2026</v>
      </c>
      <c r="M121" s="28" t="n">
        <f aca="false">DATE(YEAR(A121),MONTH(A121),1)</f>
        <v>46174</v>
      </c>
    </row>
    <row r="122" customFormat="false" ht="14.25" hidden="false" customHeight="true" outlineLevel="0" collapsed="false">
      <c r="A122" s="25" t="n">
        <v>46174</v>
      </c>
      <c r="B122" s="1" t="s">
        <v>63</v>
      </c>
      <c r="C122" s="1" t="s">
        <v>49</v>
      </c>
      <c r="D122" s="1" t="s">
        <v>60</v>
      </c>
      <c r="E122" s="1" t="s">
        <v>51</v>
      </c>
      <c r="F122" s="1" t="s">
        <v>70</v>
      </c>
      <c r="G122" s="26" t="n">
        <v>0.59375</v>
      </c>
      <c r="H122" s="26" t="n">
        <v>0.652777777777778</v>
      </c>
      <c r="I122" s="1" t="n">
        <v>85</v>
      </c>
      <c r="J122" s="1" t="s">
        <v>53</v>
      </c>
      <c r="K122" s="27" t="s">
        <v>54</v>
      </c>
      <c r="L122" s="1" t="str">
        <f aca="false">TEXT(A122,"mmm-yyyy")</f>
        <v>Jun-2026</v>
      </c>
      <c r="M122" s="28" t="n">
        <f aca="false">DATE(YEAR(A122),MONTH(A122),1)</f>
        <v>46174</v>
      </c>
    </row>
    <row r="123" customFormat="false" ht="14.25" hidden="false" customHeight="true" outlineLevel="0" collapsed="false">
      <c r="A123" s="25" t="n">
        <v>46175</v>
      </c>
      <c r="B123" s="1" t="s">
        <v>63</v>
      </c>
      <c r="C123" s="1" t="s">
        <v>64</v>
      </c>
      <c r="D123" s="1" t="s">
        <v>60</v>
      </c>
      <c r="E123" s="1" t="s">
        <v>65</v>
      </c>
      <c r="F123" s="1" t="s">
        <v>52</v>
      </c>
      <c r="G123" s="26" t="n">
        <v>0.4375</v>
      </c>
      <c r="H123" s="26" t="n">
        <v>0.481944444444445</v>
      </c>
      <c r="I123" s="1" t="n">
        <v>64</v>
      </c>
      <c r="J123" s="1" t="s">
        <v>69</v>
      </c>
      <c r="K123" s="27" t="s">
        <v>54</v>
      </c>
      <c r="L123" s="1" t="str">
        <f aca="false">TEXT(A123,"mmm-yyyy")</f>
        <v>Jun-2026</v>
      </c>
      <c r="M123" s="28" t="n">
        <f aca="false">DATE(YEAR(A123),MONTH(A123),1)</f>
        <v>46174</v>
      </c>
    </row>
    <row r="124" customFormat="false" ht="14.25" hidden="false" customHeight="true" outlineLevel="0" collapsed="false">
      <c r="A124" s="25" t="n">
        <v>46176</v>
      </c>
      <c r="B124" s="1" t="s">
        <v>55</v>
      </c>
      <c r="C124" s="1" t="s">
        <v>49</v>
      </c>
      <c r="D124" s="1" t="s">
        <v>74</v>
      </c>
      <c r="E124" s="1" t="s">
        <v>51</v>
      </c>
      <c r="F124" s="1" t="s">
        <v>70</v>
      </c>
      <c r="G124" s="26" t="n">
        <v>0.4375</v>
      </c>
      <c r="H124" s="26" t="n">
        <v>0.511805555555556</v>
      </c>
      <c r="I124" s="1" t="n">
        <v>107</v>
      </c>
      <c r="J124" s="1" t="s">
        <v>69</v>
      </c>
      <c r="K124" s="27" t="s">
        <v>54</v>
      </c>
      <c r="L124" s="1" t="str">
        <f aca="false">TEXT(A124,"mmm-yyyy")</f>
        <v>Jun-2026</v>
      </c>
      <c r="M124" s="28" t="n">
        <f aca="false">DATE(YEAR(A124),MONTH(A124),1)</f>
        <v>46174</v>
      </c>
    </row>
    <row r="125" customFormat="false" ht="14.25" hidden="false" customHeight="true" outlineLevel="0" collapsed="false">
      <c r="A125" s="25" t="n">
        <v>46177</v>
      </c>
      <c r="B125" s="1" t="s">
        <v>2</v>
      </c>
      <c r="C125" s="1" t="s">
        <v>56</v>
      </c>
      <c r="D125" s="1" t="s">
        <v>50</v>
      </c>
      <c r="E125" s="1" t="s">
        <v>57</v>
      </c>
      <c r="F125" s="1" t="s">
        <v>52</v>
      </c>
      <c r="G125" s="26" t="n">
        <v>0.520833333333333</v>
      </c>
      <c r="H125" s="26" t="n">
        <v>0.54375</v>
      </c>
      <c r="I125" s="1" t="n">
        <v>33</v>
      </c>
      <c r="J125" s="1" t="s">
        <v>69</v>
      </c>
      <c r="K125" s="27" t="s">
        <v>54</v>
      </c>
      <c r="L125" s="1" t="str">
        <f aca="false">TEXT(A125,"mmm-yyyy")</f>
        <v>Jun-2026</v>
      </c>
      <c r="M125" s="28" t="n">
        <f aca="false">DATE(YEAR(A125),MONTH(A125),1)</f>
        <v>46174</v>
      </c>
    </row>
    <row r="126" customFormat="false" ht="14.25" hidden="false" customHeight="true" outlineLevel="0" collapsed="false">
      <c r="A126" s="25" t="n">
        <v>46178</v>
      </c>
      <c r="B126" s="1" t="s">
        <v>2</v>
      </c>
      <c r="C126" s="1" t="s">
        <v>49</v>
      </c>
      <c r="D126" s="1" t="s">
        <v>62</v>
      </c>
      <c r="E126" s="1" t="s">
        <v>51</v>
      </c>
      <c r="F126" s="1" t="s">
        <v>70</v>
      </c>
      <c r="G126" s="26" t="n">
        <v>0.510416666666667</v>
      </c>
      <c r="H126" s="26" t="n">
        <v>0.536805555555556</v>
      </c>
      <c r="I126" s="1" t="n">
        <v>38</v>
      </c>
      <c r="J126" s="1" t="s">
        <v>59</v>
      </c>
      <c r="K126" s="27" t="s">
        <v>54</v>
      </c>
      <c r="L126" s="1" t="str">
        <f aca="false">TEXT(A126,"mmm-yyyy")</f>
        <v>Jun-2026</v>
      </c>
      <c r="M126" s="28" t="n">
        <f aca="false">DATE(YEAR(A126),MONTH(A126),1)</f>
        <v>46174</v>
      </c>
    </row>
    <row r="127" customFormat="false" ht="14.25" hidden="false" customHeight="true" outlineLevel="0" collapsed="false">
      <c r="A127" s="25" t="n">
        <v>46179</v>
      </c>
      <c r="B127" s="1" t="s">
        <v>55</v>
      </c>
      <c r="C127" s="1" t="s">
        <v>56</v>
      </c>
      <c r="D127" s="1" t="s">
        <v>62</v>
      </c>
      <c r="E127" s="1" t="s">
        <v>57</v>
      </c>
      <c r="F127" s="1" t="s">
        <v>58</v>
      </c>
      <c r="G127" s="26" t="n">
        <v>0.458333333333333</v>
      </c>
      <c r="H127" s="26" t="n">
        <v>0.495138888888889</v>
      </c>
      <c r="I127" s="1" t="n">
        <v>53</v>
      </c>
      <c r="J127" s="1" t="s">
        <v>59</v>
      </c>
      <c r="K127" s="27" t="s">
        <v>54</v>
      </c>
      <c r="L127" s="1" t="str">
        <f aca="false">TEXT(A127,"mmm-yyyy")</f>
        <v>Jun-2026</v>
      </c>
      <c r="M127" s="28" t="n">
        <f aca="false">DATE(YEAR(A127),MONTH(A127),1)</f>
        <v>46174</v>
      </c>
    </row>
    <row r="128" customFormat="false" ht="14.25" hidden="false" customHeight="true" outlineLevel="0" collapsed="false">
      <c r="A128" s="25" t="n">
        <v>46180</v>
      </c>
      <c r="B128" s="1" t="s">
        <v>63</v>
      </c>
      <c r="C128" s="1" t="s">
        <v>56</v>
      </c>
      <c r="D128" s="1" t="s">
        <v>60</v>
      </c>
      <c r="E128" s="1" t="s">
        <v>57</v>
      </c>
      <c r="F128" s="1" t="s">
        <v>58</v>
      </c>
      <c r="G128" s="26" t="n">
        <v>0.65625</v>
      </c>
      <c r="H128" s="26" t="n">
        <v>0.688194444444444</v>
      </c>
      <c r="I128" s="1" t="n">
        <v>46</v>
      </c>
      <c r="J128" s="1" t="s">
        <v>59</v>
      </c>
      <c r="K128" s="27" t="s">
        <v>54</v>
      </c>
      <c r="L128" s="1" t="str">
        <f aca="false">TEXT(A128,"mmm-yyyy")</f>
        <v>Jun-2026</v>
      </c>
      <c r="M128" s="28" t="n">
        <f aca="false">DATE(YEAR(A128),MONTH(A128),1)</f>
        <v>46174</v>
      </c>
    </row>
    <row r="129" customFormat="false" ht="14.25" hidden="false" customHeight="true" outlineLevel="0" collapsed="false">
      <c r="A129" s="25" t="n">
        <v>46181</v>
      </c>
      <c r="B129" s="1" t="s">
        <v>63</v>
      </c>
      <c r="C129" s="1" t="s">
        <v>56</v>
      </c>
      <c r="D129" s="1" t="s">
        <v>60</v>
      </c>
      <c r="E129" s="1" t="s">
        <v>57</v>
      </c>
      <c r="F129" s="1" t="s">
        <v>52</v>
      </c>
      <c r="G129" s="26" t="n">
        <v>0.385416666666667</v>
      </c>
      <c r="H129" s="26" t="n">
        <v>0.418055555555556</v>
      </c>
      <c r="I129" s="1" t="n">
        <v>47</v>
      </c>
      <c r="J129" s="1" t="s">
        <v>61</v>
      </c>
      <c r="K129" s="27" t="s">
        <v>54</v>
      </c>
      <c r="L129" s="1" t="str">
        <f aca="false">TEXT(A129,"mmm-yyyy")</f>
        <v>Jun-2026</v>
      </c>
      <c r="M129" s="28" t="n">
        <f aca="false">DATE(YEAR(A129),MONTH(A129),1)</f>
        <v>46174</v>
      </c>
    </row>
    <row r="130" customFormat="false" ht="14.25" hidden="false" customHeight="true" outlineLevel="0" collapsed="false">
      <c r="A130" s="25" t="n">
        <v>46182</v>
      </c>
      <c r="B130" s="1" t="s">
        <v>63</v>
      </c>
      <c r="C130" s="1" t="s">
        <v>64</v>
      </c>
      <c r="D130" s="1" t="s">
        <v>62</v>
      </c>
      <c r="E130" s="1" t="s">
        <v>65</v>
      </c>
      <c r="F130" s="1" t="s">
        <v>58</v>
      </c>
      <c r="G130" s="26" t="n">
        <v>0.604166666666667</v>
      </c>
      <c r="H130" s="26" t="n">
        <v>0.670833333333333</v>
      </c>
      <c r="I130" s="1" t="n">
        <v>96</v>
      </c>
      <c r="J130" s="1" t="s">
        <v>61</v>
      </c>
      <c r="K130" s="27" t="s">
        <v>54</v>
      </c>
      <c r="L130" s="1" t="str">
        <f aca="false">TEXT(A130,"mmm-yyyy")</f>
        <v>Jun-2026</v>
      </c>
      <c r="M130" s="28" t="n">
        <f aca="false">DATE(YEAR(A130),MONTH(A130),1)</f>
        <v>46174</v>
      </c>
    </row>
    <row r="131" customFormat="false" ht="14.25" hidden="false" customHeight="true" outlineLevel="0" collapsed="false">
      <c r="A131" s="25" t="n">
        <v>46183</v>
      </c>
      <c r="B131" s="1" t="s">
        <v>73</v>
      </c>
      <c r="C131" s="1" t="s">
        <v>49</v>
      </c>
      <c r="D131" s="1" t="s">
        <v>62</v>
      </c>
      <c r="E131" s="1" t="s">
        <v>51</v>
      </c>
      <c r="F131" s="1" t="s">
        <v>70</v>
      </c>
      <c r="G131" s="26" t="n">
        <v>0.614583333333333</v>
      </c>
      <c r="H131" s="26" t="n">
        <v>0.634722222222222</v>
      </c>
      <c r="I131" s="1" t="n">
        <v>29</v>
      </c>
      <c r="J131" s="1" t="s">
        <v>59</v>
      </c>
      <c r="K131" s="27" t="s">
        <v>54</v>
      </c>
      <c r="L131" s="1" t="str">
        <f aca="false">TEXT(A131,"mmm-yyyy")</f>
        <v>Jun-2026</v>
      </c>
      <c r="M131" s="28" t="n">
        <f aca="false">DATE(YEAR(A131),MONTH(A131),1)</f>
        <v>46174</v>
      </c>
    </row>
    <row r="132" customFormat="false" ht="14.25" hidden="false" customHeight="true" outlineLevel="0" collapsed="false">
      <c r="A132" s="25" t="n">
        <v>46184</v>
      </c>
      <c r="B132" s="1" t="s">
        <v>2</v>
      </c>
      <c r="C132" s="1" t="s">
        <v>56</v>
      </c>
      <c r="D132" s="1" t="s">
        <v>60</v>
      </c>
      <c r="E132" s="1" t="s">
        <v>57</v>
      </c>
      <c r="F132" s="1" t="s">
        <v>70</v>
      </c>
      <c r="G132" s="26" t="n">
        <v>0.572916666666667</v>
      </c>
      <c r="H132" s="26" t="n">
        <v>0.647916666666667</v>
      </c>
      <c r="I132" s="1" t="n">
        <v>108</v>
      </c>
      <c r="J132" s="1" t="s">
        <v>53</v>
      </c>
      <c r="K132" s="27" t="s">
        <v>54</v>
      </c>
      <c r="L132" s="1" t="str">
        <f aca="false">TEXT(A132,"mmm-yyyy")</f>
        <v>Jun-2026</v>
      </c>
      <c r="M132" s="28" t="n">
        <f aca="false">DATE(YEAR(A132),MONTH(A132),1)</f>
        <v>46174</v>
      </c>
    </row>
    <row r="133" customFormat="false" ht="14.25" hidden="false" customHeight="true" outlineLevel="0" collapsed="false">
      <c r="A133" s="25" t="n">
        <v>46185</v>
      </c>
      <c r="B133" s="1" t="s">
        <v>2</v>
      </c>
      <c r="C133" s="1" t="s">
        <v>49</v>
      </c>
      <c r="D133" s="1" t="s">
        <v>62</v>
      </c>
      <c r="E133" s="1" t="s">
        <v>51</v>
      </c>
      <c r="F133" s="1" t="s">
        <v>52</v>
      </c>
      <c r="G133" s="26" t="n">
        <v>0.604166666666667</v>
      </c>
      <c r="H133" s="26" t="n">
        <v>0.677083333333333</v>
      </c>
      <c r="I133" s="1" t="n">
        <v>105</v>
      </c>
      <c r="J133" s="1" t="s">
        <v>59</v>
      </c>
      <c r="K133" s="27" t="s">
        <v>54</v>
      </c>
      <c r="L133" s="1" t="str">
        <f aca="false">TEXT(A133,"mmm-yyyy")</f>
        <v>Jun-2026</v>
      </c>
      <c r="M133" s="28" t="n">
        <f aca="false">DATE(YEAR(A133),MONTH(A133),1)</f>
        <v>46174</v>
      </c>
    </row>
    <row r="134" customFormat="false" ht="14.25" hidden="false" customHeight="true" outlineLevel="0" collapsed="false">
      <c r="A134" s="25" t="n">
        <v>46186</v>
      </c>
      <c r="B134" s="1" t="s">
        <v>63</v>
      </c>
      <c r="C134" s="1" t="s">
        <v>56</v>
      </c>
      <c r="D134" s="1" t="s">
        <v>50</v>
      </c>
      <c r="E134" s="1" t="s">
        <v>57</v>
      </c>
      <c r="F134" s="1" t="s">
        <v>70</v>
      </c>
      <c r="G134" s="26" t="n">
        <v>0.666666666666667</v>
      </c>
      <c r="H134" s="26" t="n">
        <v>0.697222222222222</v>
      </c>
      <c r="I134" s="1" t="n">
        <v>44</v>
      </c>
      <c r="J134" s="1" t="s">
        <v>61</v>
      </c>
      <c r="K134" s="27" t="s">
        <v>54</v>
      </c>
      <c r="L134" s="1" t="str">
        <f aca="false">TEXT(A134,"mmm-yyyy")</f>
        <v>Jun-2026</v>
      </c>
      <c r="M134" s="28" t="n">
        <f aca="false">DATE(YEAR(A134),MONTH(A134),1)</f>
        <v>46174</v>
      </c>
    </row>
    <row r="135" customFormat="false" ht="14.25" hidden="false" customHeight="true" outlineLevel="0" collapsed="false">
      <c r="A135" s="25" t="n">
        <v>46187</v>
      </c>
      <c r="B135" s="1" t="s">
        <v>68</v>
      </c>
      <c r="C135" s="1" t="s">
        <v>49</v>
      </c>
      <c r="D135" s="1" t="s">
        <v>62</v>
      </c>
      <c r="E135" s="1" t="s">
        <v>51</v>
      </c>
      <c r="F135" s="1" t="s">
        <v>58</v>
      </c>
      <c r="G135" s="26" t="n">
        <v>0.635416666666667</v>
      </c>
      <c r="H135" s="26" t="n">
        <v>0.697916666666667</v>
      </c>
      <c r="I135" s="1" t="n">
        <v>90</v>
      </c>
      <c r="J135" s="1" t="s">
        <v>61</v>
      </c>
      <c r="K135" s="27" t="s">
        <v>54</v>
      </c>
      <c r="L135" s="1" t="str">
        <f aca="false">TEXT(A135,"mmm-yyyy")</f>
        <v>Jun-2026</v>
      </c>
      <c r="M135" s="28" t="n">
        <f aca="false">DATE(YEAR(A135),MONTH(A135),1)</f>
        <v>46174</v>
      </c>
    </row>
    <row r="136" customFormat="false" ht="14.25" hidden="false" customHeight="true" outlineLevel="0" collapsed="false">
      <c r="A136" s="25" t="n">
        <v>46188</v>
      </c>
      <c r="B136" s="1" t="s">
        <v>68</v>
      </c>
      <c r="C136" s="1" t="s">
        <v>49</v>
      </c>
      <c r="D136" s="1" t="s">
        <v>60</v>
      </c>
      <c r="E136" s="1" t="s">
        <v>51</v>
      </c>
      <c r="F136" s="1" t="s">
        <v>58</v>
      </c>
      <c r="G136" s="26" t="n">
        <v>0.395833333333333</v>
      </c>
      <c r="H136" s="26" t="n">
        <v>0.469444444444444</v>
      </c>
      <c r="I136" s="1" t="n">
        <v>106</v>
      </c>
      <c r="J136" s="1" t="s">
        <v>53</v>
      </c>
      <c r="K136" s="27" t="s">
        <v>54</v>
      </c>
      <c r="L136" s="1" t="str">
        <f aca="false">TEXT(A136,"mmm-yyyy")</f>
        <v>Jun-2026</v>
      </c>
      <c r="M136" s="28" t="n">
        <f aca="false">DATE(YEAR(A136),MONTH(A136),1)</f>
        <v>46174</v>
      </c>
    </row>
    <row r="137" customFormat="false" ht="14.25" hidden="false" customHeight="true" outlineLevel="0" collapsed="false">
      <c r="A137" s="25" t="n">
        <v>46189</v>
      </c>
      <c r="B137" s="1" t="s">
        <v>73</v>
      </c>
      <c r="C137" s="1" t="s">
        <v>49</v>
      </c>
      <c r="D137" s="1" t="s">
        <v>60</v>
      </c>
      <c r="E137" s="1" t="s">
        <v>51</v>
      </c>
      <c r="F137" s="1" t="s">
        <v>70</v>
      </c>
      <c r="G137" s="26" t="n">
        <v>0.625</v>
      </c>
      <c r="H137" s="26" t="n">
        <v>0.677083333333333</v>
      </c>
      <c r="I137" s="1" t="n">
        <v>75</v>
      </c>
      <c r="J137" s="1" t="s">
        <v>69</v>
      </c>
      <c r="K137" s="27" t="s">
        <v>54</v>
      </c>
      <c r="L137" s="1" t="str">
        <f aca="false">TEXT(A137,"mmm-yyyy")</f>
        <v>Jun-2026</v>
      </c>
      <c r="M137" s="28" t="n">
        <f aca="false">DATE(YEAR(A137),MONTH(A137),1)</f>
        <v>46174</v>
      </c>
    </row>
    <row r="138" customFormat="false" ht="14.25" hidden="false" customHeight="true" outlineLevel="0" collapsed="false">
      <c r="A138" s="25" t="n">
        <v>46190</v>
      </c>
      <c r="B138" s="1" t="s">
        <v>63</v>
      </c>
      <c r="C138" s="1" t="s">
        <v>64</v>
      </c>
      <c r="D138" s="1" t="s">
        <v>62</v>
      </c>
      <c r="E138" s="1" t="s">
        <v>65</v>
      </c>
      <c r="F138" s="1" t="s">
        <v>70</v>
      </c>
      <c r="G138" s="26" t="n">
        <v>0.375</v>
      </c>
      <c r="H138" s="26" t="n">
        <v>0.411805555555556</v>
      </c>
      <c r="I138" s="1" t="n">
        <v>53</v>
      </c>
      <c r="J138" s="1" t="s">
        <v>61</v>
      </c>
      <c r="K138" s="27" t="s">
        <v>54</v>
      </c>
      <c r="L138" s="1" t="str">
        <f aca="false">TEXT(A138,"mmm-yyyy")</f>
        <v>Jun-2026</v>
      </c>
      <c r="M138" s="28" t="n">
        <f aca="false">DATE(YEAR(A138),MONTH(A138),1)</f>
        <v>46174</v>
      </c>
    </row>
    <row r="139" customFormat="false" ht="14.25" hidden="false" customHeight="true" outlineLevel="0" collapsed="false">
      <c r="A139" s="25" t="n">
        <v>46191</v>
      </c>
      <c r="B139" s="1" t="s">
        <v>55</v>
      </c>
      <c r="C139" s="1" t="s">
        <v>64</v>
      </c>
      <c r="D139" s="1" t="s">
        <v>62</v>
      </c>
      <c r="E139" s="1" t="s">
        <v>65</v>
      </c>
      <c r="F139" s="1" t="s">
        <v>52</v>
      </c>
      <c r="G139" s="26" t="n">
        <v>0.458333333333333</v>
      </c>
      <c r="H139" s="26" t="n">
        <v>0.497222222222222</v>
      </c>
      <c r="I139" s="1" t="n">
        <v>56</v>
      </c>
      <c r="J139" s="1" t="s">
        <v>53</v>
      </c>
      <c r="K139" s="27" t="s">
        <v>54</v>
      </c>
      <c r="L139" s="1" t="str">
        <f aca="false">TEXT(A139,"mmm-yyyy")</f>
        <v>Jun-2026</v>
      </c>
      <c r="M139" s="28" t="n">
        <f aca="false">DATE(YEAR(A139),MONTH(A139),1)</f>
        <v>46174</v>
      </c>
    </row>
    <row r="140" customFormat="false" ht="14.25" hidden="false" customHeight="true" outlineLevel="0" collapsed="false">
      <c r="A140" s="25" t="n">
        <v>46192</v>
      </c>
      <c r="B140" s="1" t="s">
        <v>2</v>
      </c>
      <c r="C140" s="1" t="s">
        <v>71</v>
      </c>
      <c r="D140" s="1" t="s">
        <v>60</v>
      </c>
      <c r="E140" s="1" t="s">
        <v>72</v>
      </c>
      <c r="F140" s="1" t="s">
        <v>70</v>
      </c>
      <c r="G140" s="26" t="n">
        <v>0.458333333333333</v>
      </c>
      <c r="H140" s="26" t="n">
        <v>0.475</v>
      </c>
      <c r="I140" s="1" t="n">
        <v>24</v>
      </c>
      <c r="J140" s="1" t="s">
        <v>69</v>
      </c>
      <c r="K140" s="27" t="s">
        <v>54</v>
      </c>
      <c r="L140" s="1" t="str">
        <f aca="false">TEXT(A140,"mmm-yyyy")</f>
        <v>Jun-2026</v>
      </c>
      <c r="M140" s="28" t="n">
        <f aca="false">DATE(YEAR(A140),MONTH(A140),1)</f>
        <v>46174</v>
      </c>
    </row>
    <row r="141" customFormat="false" ht="14.25" hidden="false" customHeight="true" outlineLevel="0" collapsed="false">
      <c r="A141" s="25" t="n">
        <v>46193</v>
      </c>
      <c r="B141" s="1" t="s">
        <v>73</v>
      </c>
      <c r="C141" s="1" t="s">
        <v>66</v>
      </c>
      <c r="D141" s="1" t="s">
        <v>50</v>
      </c>
      <c r="E141" s="1" t="s">
        <v>67</v>
      </c>
      <c r="F141" s="1" t="s">
        <v>58</v>
      </c>
      <c r="G141" s="26" t="n">
        <v>0.489583333333333</v>
      </c>
      <c r="H141" s="26" t="n">
        <v>0.568055555555556</v>
      </c>
      <c r="I141" s="1" t="n">
        <v>113</v>
      </c>
      <c r="J141" s="1" t="s">
        <v>69</v>
      </c>
      <c r="K141" s="27" t="s">
        <v>54</v>
      </c>
      <c r="L141" s="1" t="str">
        <f aca="false">TEXT(A141,"mmm-yyyy")</f>
        <v>Jun-2026</v>
      </c>
      <c r="M141" s="28" t="n">
        <f aca="false">DATE(YEAR(A141),MONTH(A141),1)</f>
        <v>46174</v>
      </c>
    </row>
    <row r="142" customFormat="false" ht="14.25" hidden="false" customHeight="true" outlineLevel="0" collapsed="false">
      <c r="A142" s="25" t="n">
        <v>46194</v>
      </c>
      <c r="B142" s="1" t="s">
        <v>55</v>
      </c>
      <c r="C142" s="1" t="s">
        <v>66</v>
      </c>
      <c r="D142" s="1" t="s">
        <v>60</v>
      </c>
      <c r="E142" s="1" t="s">
        <v>67</v>
      </c>
      <c r="F142" s="1" t="s">
        <v>52</v>
      </c>
      <c r="G142" s="26" t="n">
        <v>0.59375</v>
      </c>
      <c r="H142" s="26" t="n">
        <v>0.620138888888889</v>
      </c>
      <c r="I142" s="1" t="n">
        <v>38</v>
      </c>
      <c r="J142" s="1" t="s">
        <v>69</v>
      </c>
      <c r="K142" s="27" t="s">
        <v>54</v>
      </c>
      <c r="L142" s="1" t="str">
        <f aca="false">TEXT(A142,"mmm-yyyy")</f>
        <v>Jun-2026</v>
      </c>
      <c r="M142" s="28" t="n">
        <f aca="false">DATE(YEAR(A142),MONTH(A142),1)</f>
        <v>46174</v>
      </c>
    </row>
    <row r="143" customFormat="false" ht="14.25" hidden="false" customHeight="true" outlineLevel="0" collapsed="false">
      <c r="A143" s="25" t="n">
        <v>46195</v>
      </c>
      <c r="B143" s="1" t="s">
        <v>2</v>
      </c>
      <c r="C143" s="1" t="s">
        <v>56</v>
      </c>
      <c r="D143" s="1" t="s">
        <v>74</v>
      </c>
      <c r="E143" s="1" t="s">
        <v>57</v>
      </c>
      <c r="F143" s="1" t="s">
        <v>52</v>
      </c>
      <c r="G143" s="26" t="n">
        <v>0.583333333333333</v>
      </c>
      <c r="H143" s="26" t="n">
        <v>0.634722222222222</v>
      </c>
      <c r="I143" s="1" t="n">
        <v>74</v>
      </c>
      <c r="J143" s="1" t="s">
        <v>53</v>
      </c>
      <c r="K143" s="27" t="s">
        <v>54</v>
      </c>
      <c r="L143" s="1" t="str">
        <f aca="false">TEXT(A143,"mmm-yyyy")</f>
        <v>Jun-2026</v>
      </c>
      <c r="M143" s="28" t="n">
        <f aca="false">DATE(YEAR(A143),MONTH(A143),1)</f>
        <v>46174</v>
      </c>
    </row>
    <row r="144" customFormat="false" ht="14.25" hidden="false" customHeight="true" outlineLevel="0" collapsed="false">
      <c r="A144" s="25" t="n">
        <v>46196</v>
      </c>
      <c r="B144" s="1" t="s">
        <v>2</v>
      </c>
      <c r="C144" s="1" t="s">
        <v>49</v>
      </c>
      <c r="D144" s="1" t="s">
        <v>62</v>
      </c>
      <c r="E144" s="1" t="s">
        <v>51</v>
      </c>
      <c r="F144" s="1" t="s">
        <v>52</v>
      </c>
      <c r="G144" s="26" t="n">
        <v>0.447916666666667</v>
      </c>
      <c r="H144" s="26" t="n">
        <v>0.463194444444445</v>
      </c>
      <c r="I144" s="1" t="n">
        <v>22</v>
      </c>
      <c r="J144" s="1" t="s">
        <v>53</v>
      </c>
      <c r="K144" s="27" t="s">
        <v>54</v>
      </c>
      <c r="L144" s="1" t="str">
        <f aca="false">TEXT(A144,"mmm-yyyy")</f>
        <v>Jun-2026</v>
      </c>
      <c r="M144" s="28" t="n">
        <f aca="false">DATE(YEAR(A144),MONTH(A144),1)</f>
        <v>46174</v>
      </c>
    </row>
    <row r="145" customFormat="false" ht="14.25" hidden="false" customHeight="true" outlineLevel="0" collapsed="false">
      <c r="A145" s="25" t="n">
        <v>46197</v>
      </c>
      <c r="B145" s="1" t="s">
        <v>63</v>
      </c>
      <c r="C145" s="1" t="s">
        <v>56</v>
      </c>
      <c r="D145" s="1" t="s">
        <v>60</v>
      </c>
      <c r="E145" s="1" t="s">
        <v>57</v>
      </c>
      <c r="F145" s="1" t="s">
        <v>58</v>
      </c>
      <c r="G145" s="26" t="n">
        <v>0.447916666666667</v>
      </c>
      <c r="H145" s="26" t="n">
        <v>0.481944444444445</v>
      </c>
      <c r="I145" s="1" t="n">
        <v>49</v>
      </c>
      <c r="J145" s="1" t="s">
        <v>61</v>
      </c>
      <c r="K145" s="27" t="s">
        <v>54</v>
      </c>
      <c r="L145" s="1" t="str">
        <f aca="false">TEXT(A145,"mmm-yyyy")</f>
        <v>Jun-2026</v>
      </c>
      <c r="M145" s="28" t="n">
        <f aca="false">DATE(YEAR(A145),MONTH(A145),1)</f>
        <v>46174</v>
      </c>
    </row>
    <row r="146" customFormat="false" ht="14.25" hidden="false" customHeight="true" outlineLevel="0" collapsed="false">
      <c r="A146" s="25" t="n">
        <v>46198</v>
      </c>
      <c r="B146" s="1" t="s">
        <v>55</v>
      </c>
      <c r="C146" s="1" t="s">
        <v>71</v>
      </c>
      <c r="D146" s="1" t="s">
        <v>62</v>
      </c>
      <c r="E146" s="1" t="s">
        <v>72</v>
      </c>
      <c r="F146" s="1" t="s">
        <v>70</v>
      </c>
      <c r="G146" s="26" t="n">
        <v>0.416666666666667</v>
      </c>
      <c r="H146" s="26" t="n">
        <v>0.461111111111111</v>
      </c>
      <c r="I146" s="1" t="n">
        <v>64</v>
      </c>
      <c r="J146" s="1" t="s">
        <v>53</v>
      </c>
      <c r="K146" s="27" t="s">
        <v>54</v>
      </c>
      <c r="L146" s="1" t="str">
        <f aca="false">TEXT(A146,"mmm-yyyy")</f>
        <v>Jun-2026</v>
      </c>
      <c r="M146" s="28" t="n">
        <f aca="false">DATE(YEAR(A146),MONTH(A146),1)</f>
        <v>46174</v>
      </c>
    </row>
    <row r="147" customFormat="false" ht="14.25" hidden="false" customHeight="true" outlineLevel="0" collapsed="false">
      <c r="A147" s="25" t="n">
        <v>46199</v>
      </c>
      <c r="B147" s="1" t="s">
        <v>55</v>
      </c>
      <c r="C147" s="1" t="s">
        <v>49</v>
      </c>
      <c r="D147" s="1" t="s">
        <v>62</v>
      </c>
      <c r="E147" s="1" t="s">
        <v>51</v>
      </c>
      <c r="F147" s="1" t="s">
        <v>70</v>
      </c>
      <c r="G147" s="26" t="n">
        <v>0.572916666666667</v>
      </c>
      <c r="H147" s="26" t="n">
        <v>0.608333333333333</v>
      </c>
      <c r="I147" s="1" t="n">
        <v>51</v>
      </c>
      <c r="J147" s="1" t="s">
        <v>53</v>
      </c>
      <c r="K147" s="27" t="s">
        <v>54</v>
      </c>
      <c r="L147" s="1" t="str">
        <f aca="false">TEXT(A147,"mmm-yyyy")</f>
        <v>Jun-2026</v>
      </c>
      <c r="M147" s="28" t="n">
        <f aca="false">DATE(YEAR(A147),MONTH(A147),1)</f>
        <v>46174</v>
      </c>
    </row>
    <row r="148" customFormat="false" ht="14.25" hidden="false" customHeight="true" outlineLevel="0" collapsed="false">
      <c r="A148" s="25" t="n">
        <v>46200</v>
      </c>
      <c r="B148" s="1" t="s">
        <v>73</v>
      </c>
      <c r="C148" s="1" t="s">
        <v>56</v>
      </c>
      <c r="D148" s="1" t="s">
        <v>60</v>
      </c>
      <c r="E148" s="1" t="s">
        <v>57</v>
      </c>
      <c r="F148" s="1" t="s">
        <v>70</v>
      </c>
      <c r="G148" s="26" t="n">
        <v>0.65625</v>
      </c>
      <c r="H148" s="26" t="n">
        <v>0.691666666666667</v>
      </c>
      <c r="I148" s="1" t="n">
        <v>51</v>
      </c>
      <c r="J148" s="1" t="s">
        <v>69</v>
      </c>
      <c r="K148" s="27" t="s">
        <v>54</v>
      </c>
      <c r="L148" s="1" t="str">
        <f aca="false">TEXT(A148,"mmm-yyyy")</f>
        <v>Jun-2026</v>
      </c>
      <c r="M148" s="28" t="n">
        <f aca="false">DATE(YEAR(A148),MONTH(A148),1)</f>
        <v>46174</v>
      </c>
    </row>
    <row r="149" customFormat="false" ht="14.25" hidden="false" customHeight="true" outlineLevel="0" collapsed="false">
      <c r="A149" s="25" t="n">
        <v>46201</v>
      </c>
      <c r="B149" s="1" t="s">
        <v>55</v>
      </c>
      <c r="C149" s="1" t="s">
        <v>49</v>
      </c>
      <c r="D149" s="1" t="s">
        <v>62</v>
      </c>
      <c r="E149" s="1" t="s">
        <v>51</v>
      </c>
      <c r="F149" s="1" t="s">
        <v>70</v>
      </c>
      <c r="G149" s="26" t="n">
        <v>0.645833333333333</v>
      </c>
      <c r="H149" s="26" t="n">
        <v>0.678472222222222</v>
      </c>
      <c r="I149" s="1" t="n">
        <v>47</v>
      </c>
      <c r="J149" s="1" t="s">
        <v>69</v>
      </c>
      <c r="K149" s="27" t="s">
        <v>54</v>
      </c>
      <c r="L149" s="1" t="str">
        <f aca="false">TEXT(A149,"mmm-yyyy")</f>
        <v>Jun-2026</v>
      </c>
      <c r="M149" s="28" t="n">
        <f aca="false">DATE(YEAR(A149),MONTH(A149),1)</f>
        <v>46174</v>
      </c>
    </row>
    <row r="150" customFormat="false" ht="14.25" hidden="false" customHeight="true" outlineLevel="0" collapsed="false">
      <c r="A150" s="25" t="n">
        <v>46202</v>
      </c>
      <c r="B150" s="1" t="s">
        <v>55</v>
      </c>
      <c r="C150" s="1" t="s">
        <v>56</v>
      </c>
      <c r="D150" s="1" t="s">
        <v>50</v>
      </c>
      <c r="E150" s="1" t="s">
        <v>57</v>
      </c>
      <c r="F150" s="1" t="s">
        <v>58</v>
      </c>
      <c r="G150" s="26" t="n">
        <v>0.520833333333333</v>
      </c>
      <c r="H150" s="26" t="n">
        <v>0.565277777777778</v>
      </c>
      <c r="I150" s="1" t="n">
        <v>64</v>
      </c>
      <c r="J150" s="1" t="s">
        <v>61</v>
      </c>
      <c r="K150" s="27" t="s">
        <v>54</v>
      </c>
      <c r="L150" s="1" t="str">
        <f aca="false">TEXT(A150,"mmm-yyyy")</f>
        <v>Jun-2026</v>
      </c>
      <c r="M150" s="28" t="n">
        <f aca="false">DATE(YEAR(A150),MONTH(A150),1)</f>
        <v>46174</v>
      </c>
    </row>
    <row r="151" customFormat="false" ht="14.25" hidden="false" customHeight="true" outlineLevel="0" collapsed="false">
      <c r="A151" s="25" t="n">
        <v>46203</v>
      </c>
      <c r="B151" s="1" t="s">
        <v>73</v>
      </c>
      <c r="C151" s="1" t="s">
        <v>64</v>
      </c>
      <c r="D151" s="1" t="s">
        <v>62</v>
      </c>
      <c r="E151" s="1" t="s">
        <v>65</v>
      </c>
      <c r="F151" s="1" t="s">
        <v>58</v>
      </c>
      <c r="G151" s="26" t="n">
        <v>0.541666666666667</v>
      </c>
      <c r="H151" s="26" t="n">
        <v>0.560416666666667</v>
      </c>
      <c r="I151" s="1" t="n">
        <v>27</v>
      </c>
      <c r="J151" s="1" t="s">
        <v>59</v>
      </c>
      <c r="K151" s="27" t="s">
        <v>54</v>
      </c>
      <c r="L151" s="1" t="str">
        <f aca="false">TEXT(A151,"mmm-yyyy")</f>
        <v>Jun-2026</v>
      </c>
      <c r="M151" s="28" t="n">
        <f aca="false">DATE(YEAR(A151),MONTH(A151),1)</f>
        <v>46174</v>
      </c>
    </row>
    <row r="152" customFormat="false" ht="14.25" hidden="false" customHeight="true" outlineLevel="0" collapsed="false">
      <c r="A152" s="25" t="n">
        <v>46174</v>
      </c>
      <c r="B152" s="1" t="s">
        <v>68</v>
      </c>
      <c r="C152" s="1" t="s">
        <v>66</v>
      </c>
      <c r="D152" s="1" t="s">
        <v>50</v>
      </c>
      <c r="E152" s="1" t="s">
        <v>67</v>
      </c>
      <c r="F152" s="1" t="s">
        <v>58</v>
      </c>
      <c r="G152" s="26" t="n">
        <v>0.645833333333333</v>
      </c>
      <c r="H152" s="26" t="n">
        <v>0.713888888888889</v>
      </c>
      <c r="I152" s="1" t="n">
        <v>98</v>
      </c>
      <c r="J152" s="1" t="s">
        <v>59</v>
      </c>
      <c r="K152" s="27" t="s">
        <v>54</v>
      </c>
      <c r="L152" s="1" t="str">
        <f aca="false">TEXT(A152,"mmm-yyyy")</f>
        <v>Jun-2026</v>
      </c>
      <c r="M152" s="28" t="n">
        <f aca="false">DATE(YEAR(A152),MONTH(A152),1)</f>
        <v>46174</v>
      </c>
    </row>
    <row r="153" customFormat="false" ht="14.25" hidden="false" customHeight="true" outlineLevel="0" collapsed="false">
      <c r="A153" s="25" t="n">
        <v>46175</v>
      </c>
      <c r="B153" s="1" t="s">
        <v>68</v>
      </c>
      <c r="C153" s="1" t="s">
        <v>49</v>
      </c>
      <c r="D153" s="1" t="s">
        <v>74</v>
      </c>
      <c r="E153" s="1" t="s">
        <v>51</v>
      </c>
      <c r="F153" s="1" t="s">
        <v>58</v>
      </c>
      <c r="G153" s="26" t="n">
        <v>0.614583333333333</v>
      </c>
      <c r="H153" s="26" t="n">
        <v>0.64375</v>
      </c>
      <c r="I153" s="1" t="n">
        <v>42</v>
      </c>
      <c r="J153" s="1" t="s">
        <v>69</v>
      </c>
      <c r="K153" s="27" t="s">
        <v>54</v>
      </c>
      <c r="L153" s="1" t="str">
        <f aca="false">TEXT(A153,"mmm-yyyy")</f>
        <v>Jun-2026</v>
      </c>
      <c r="M153" s="28" t="n">
        <f aca="false">DATE(YEAR(A153),MONTH(A153),1)</f>
        <v>46174</v>
      </c>
    </row>
    <row r="154" customFormat="false" ht="14.25" hidden="false" customHeight="true" outlineLevel="0" collapsed="false">
      <c r="A154" s="25" t="n">
        <v>46176</v>
      </c>
      <c r="B154" s="1" t="s">
        <v>68</v>
      </c>
      <c r="C154" s="1" t="s">
        <v>66</v>
      </c>
      <c r="D154" s="1" t="s">
        <v>62</v>
      </c>
      <c r="E154" s="1" t="s">
        <v>67</v>
      </c>
      <c r="F154" s="1" t="s">
        <v>70</v>
      </c>
      <c r="G154" s="26" t="n">
        <v>0.645833333333333</v>
      </c>
      <c r="H154" s="26" t="n">
        <v>0.691666666666667</v>
      </c>
      <c r="I154" s="1" t="n">
        <v>66</v>
      </c>
      <c r="J154" s="1" t="s">
        <v>59</v>
      </c>
      <c r="K154" s="27" t="s">
        <v>54</v>
      </c>
      <c r="L154" s="1" t="str">
        <f aca="false">TEXT(A154,"mmm-yyyy")</f>
        <v>Jun-2026</v>
      </c>
      <c r="M154" s="28" t="n">
        <f aca="false">DATE(YEAR(A154),MONTH(A154),1)</f>
        <v>46174</v>
      </c>
    </row>
    <row r="155" customFormat="false" ht="14.25" hidden="false" customHeight="true" outlineLevel="0" collapsed="false">
      <c r="A155" s="25" t="n">
        <v>46177</v>
      </c>
      <c r="B155" s="1" t="s">
        <v>55</v>
      </c>
      <c r="C155" s="1" t="s">
        <v>49</v>
      </c>
      <c r="D155" s="1" t="s">
        <v>74</v>
      </c>
      <c r="E155" s="1" t="s">
        <v>51</v>
      </c>
      <c r="F155" s="1" t="s">
        <v>52</v>
      </c>
      <c r="G155" s="26" t="n">
        <v>0.635416666666667</v>
      </c>
      <c r="H155" s="26" t="n">
        <v>0.690277777777778</v>
      </c>
      <c r="I155" s="1" t="n">
        <v>79</v>
      </c>
      <c r="J155" s="1" t="s">
        <v>69</v>
      </c>
      <c r="K155" s="27" t="s">
        <v>54</v>
      </c>
      <c r="L155" s="1" t="str">
        <f aca="false">TEXT(A155,"mmm-yyyy")</f>
        <v>Jun-2026</v>
      </c>
      <c r="M155" s="28" t="n">
        <f aca="false">DATE(YEAR(A155),MONTH(A155),1)</f>
        <v>46174</v>
      </c>
    </row>
    <row r="156" customFormat="false" ht="14.25" hidden="false" customHeight="true" outlineLevel="0" collapsed="false">
      <c r="A156" s="25" t="n">
        <v>46178</v>
      </c>
      <c r="B156" s="1" t="s">
        <v>73</v>
      </c>
      <c r="C156" s="1" t="s">
        <v>71</v>
      </c>
      <c r="D156" s="1" t="s">
        <v>60</v>
      </c>
      <c r="E156" s="1" t="s">
        <v>72</v>
      </c>
      <c r="F156" s="1" t="s">
        <v>58</v>
      </c>
      <c r="G156" s="26" t="n">
        <v>0.447916666666667</v>
      </c>
      <c r="H156" s="26" t="n">
        <v>0.508333333333333</v>
      </c>
      <c r="I156" s="1" t="n">
        <v>87</v>
      </c>
      <c r="J156" s="1" t="s">
        <v>59</v>
      </c>
      <c r="K156" s="27" t="s">
        <v>54</v>
      </c>
      <c r="L156" s="1" t="str">
        <f aca="false">TEXT(A156,"mmm-yyyy")</f>
        <v>Jun-2026</v>
      </c>
      <c r="M156" s="28" t="n">
        <f aca="false">DATE(YEAR(A156),MONTH(A156),1)</f>
        <v>46174</v>
      </c>
    </row>
    <row r="157" customFormat="false" ht="14.25" hidden="false" customHeight="true" outlineLevel="0" collapsed="false">
      <c r="A157" s="25" t="n">
        <v>46179</v>
      </c>
      <c r="B157" s="1" t="s">
        <v>55</v>
      </c>
      <c r="C157" s="1" t="s">
        <v>49</v>
      </c>
      <c r="D157" s="1" t="s">
        <v>74</v>
      </c>
      <c r="E157" s="1" t="s">
        <v>51</v>
      </c>
      <c r="F157" s="1" t="s">
        <v>58</v>
      </c>
      <c r="G157" s="26" t="n">
        <v>0.625</v>
      </c>
      <c r="H157" s="26" t="n">
        <v>0.690277777777778</v>
      </c>
      <c r="I157" s="1" t="n">
        <v>94</v>
      </c>
      <c r="J157" s="1" t="s">
        <v>53</v>
      </c>
      <c r="K157" s="27" t="s">
        <v>54</v>
      </c>
      <c r="L157" s="1" t="str">
        <f aca="false">TEXT(A157,"mmm-yyyy")</f>
        <v>Jun-2026</v>
      </c>
      <c r="M157" s="28" t="n">
        <f aca="false">DATE(YEAR(A157),MONTH(A157),1)</f>
        <v>46174</v>
      </c>
    </row>
    <row r="158" customFormat="false" ht="14.25" hidden="false" customHeight="true" outlineLevel="0" collapsed="false">
      <c r="A158" s="25" t="n">
        <v>46180</v>
      </c>
      <c r="B158" s="1" t="s">
        <v>68</v>
      </c>
      <c r="C158" s="1" t="s">
        <v>71</v>
      </c>
      <c r="D158" s="1" t="s">
        <v>62</v>
      </c>
      <c r="E158" s="1" t="s">
        <v>72</v>
      </c>
      <c r="F158" s="1" t="s">
        <v>58</v>
      </c>
      <c r="G158" s="26" t="n">
        <v>0.447916666666667</v>
      </c>
      <c r="H158" s="26" t="n">
        <v>0.520833333333333</v>
      </c>
      <c r="I158" s="1" t="n">
        <v>105</v>
      </c>
      <c r="J158" s="1" t="s">
        <v>59</v>
      </c>
      <c r="K158" s="27" t="s">
        <v>54</v>
      </c>
      <c r="L158" s="1" t="str">
        <f aca="false">TEXT(A158,"mmm-yyyy")</f>
        <v>Jun-2026</v>
      </c>
      <c r="M158" s="28" t="n">
        <f aca="false">DATE(YEAR(A158),MONTH(A158),1)</f>
        <v>46174</v>
      </c>
    </row>
    <row r="159" customFormat="false" ht="14.25" hidden="false" customHeight="true" outlineLevel="0" collapsed="false">
      <c r="A159" s="25" t="n">
        <v>46181</v>
      </c>
      <c r="B159" s="1" t="s">
        <v>68</v>
      </c>
      <c r="C159" s="1" t="s">
        <v>66</v>
      </c>
      <c r="D159" s="1" t="s">
        <v>50</v>
      </c>
      <c r="E159" s="1" t="s">
        <v>67</v>
      </c>
      <c r="F159" s="1" t="s">
        <v>58</v>
      </c>
      <c r="G159" s="26" t="n">
        <v>0.677083333333333</v>
      </c>
      <c r="H159" s="26" t="n">
        <v>0.759722222222222</v>
      </c>
      <c r="I159" s="1" t="n">
        <v>119</v>
      </c>
      <c r="J159" s="1" t="s">
        <v>69</v>
      </c>
      <c r="K159" s="27" t="s">
        <v>54</v>
      </c>
      <c r="L159" s="1" t="str">
        <f aca="false">TEXT(A159,"mmm-yyyy")</f>
        <v>Jun-2026</v>
      </c>
      <c r="M159" s="28" t="n">
        <f aca="false">DATE(YEAR(A159),MONTH(A159),1)</f>
        <v>46174</v>
      </c>
    </row>
    <row r="160" customFormat="false" ht="14.25" hidden="false" customHeight="true" outlineLevel="0" collapsed="false">
      <c r="A160" s="25" t="n">
        <v>46182</v>
      </c>
      <c r="B160" s="1" t="s">
        <v>73</v>
      </c>
      <c r="C160" s="1" t="s">
        <v>66</v>
      </c>
      <c r="D160" s="1" t="s">
        <v>50</v>
      </c>
      <c r="E160" s="1" t="s">
        <v>67</v>
      </c>
      <c r="F160" s="1" t="s">
        <v>70</v>
      </c>
      <c r="G160" s="26" t="n">
        <v>0.6875</v>
      </c>
      <c r="H160" s="26" t="n">
        <v>0.7375</v>
      </c>
      <c r="I160" s="1" t="n">
        <v>72</v>
      </c>
      <c r="J160" s="1" t="s">
        <v>61</v>
      </c>
      <c r="K160" s="27" t="s">
        <v>54</v>
      </c>
      <c r="L160" s="1" t="str">
        <f aca="false">TEXT(A160,"mmm-yyyy")</f>
        <v>Jun-2026</v>
      </c>
      <c r="M160" s="28" t="n">
        <f aca="false">DATE(YEAR(A160),MONTH(A160),1)</f>
        <v>46174</v>
      </c>
    </row>
    <row r="161" customFormat="false" ht="14.25" hidden="false" customHeight="true" outlineLevel="0" collapsed="false">
      <c r="A161" s="25" t="n">
        <v>46183</v>
      </c>
      <c r="B161" s="1" t="s">
        <v>68</v>
      </c>
      <c r="C161" s="1" t="s">
        <v>64</v>
      </c>
      <c r="D161" s="1" t="s">
        <v>50</v>
      </c>
      <c r="E161" s="1" t="s">
        <v>65</v>
      </c>
      <c r="F161" s="1" t="s">
        <v>52</v>
      </c>
      <c r="G161" s="26" t="n">
        <v>0.40625</v>
      </c>
      <c r="H161" s="26" t="n">
        <v>0.471527777777778</v>
      </c>
      <c r="I161" s="1" t="n">
        <v>94</v>
      </c>
      <c r="J161" s="1" t="s">
        <v>69</v>
      </c>
      <c r="K161" s="27" t="s">
        <v>54</v>
      </c>
      <c r="L161" s="1" t="str">
        <f aca="false">TEXT(A161,"mmm-yyyy")</f>
        <v>Jun-2026</v>
      </c>
      <c r="M161" s="28" t="n">
        <f aca="false">DATE(YEAR(A161),MONTH(A161),1)</f>
        <v>46174</v>
      </c>
    </row>
    <row r="162" customFormat="false" ht="14.25" hidden="false" customHeight="true" outlineLevel="0" collapsed="false">
      <c r="A162" s="25" t="n">
        <v>46184</v>
      </c>
      <c r="B162" s="1" t="s">
        <v>73</v>
      </c>
      <c r="C162" s="1" t="s">
        <v>71</v>
      </c>
      <c r="D162" s="1" t="s">
        <v>62</v>
      </c>
      <c r="E162" s="1" t="s">
        <v>72</v>
      </c>
      <c r="F162" s="1" t="s">
        <v>70</v>
      </c>
      <c r="G162" s="26" t="n">
        <v>0.604166666666667</v>
      </c>
      <c r="H162" s="26" t="n">
        <v>0.621527777777778</v>
      </c>
      <c r="I162" s="1" t="n">
        <v>25</v>
      </c>
      <c r="J162" s="1" t="s">
        <v>61</v>
      </c>
      <c r="K162" s="27" t="s">
        <v>54</v>
      </c>
      <c r="L162" s="1" t="str">
        <f aca="false">TEXT(A162,"mmm-yyyy")</f>
        <v>Jun-2026</v>
      </c>
      <c r="M162" s="28" t="n">
        <f aca="false">DATE(YEAR(A162),MONTH(A162),1)</f>
        <v>46174</v>
      </c>
    </row>
    <row r="163" customFormat="false" ht="14.25" hidden="false" customHeight="true" outlineLevel="0" collapsed="false">
      <c r="A163" s="25" t="n">
        <v>46185</v>
      </c>
      <c r="B163" s="1" t="s">
        <v>2</v>
      </c>
      <c r="C163" s="1" t="s">
        <v>56</v>
      </c>
      <c r="D163" s="1" t="s">
        <v>50</v>
      </c>
      <c r="E163" s="1" t="s">
        <v>57</v>
      </c>
      <c r="F163" s="1" t="s">
        <v>52</v>
      </c>
      <c r="G163" s="26" t="n">
        <v>0.385416666666667</v>
      </c>
      <c r="H163" s="26" t="n">
        <v>0.467361111111111</v>
      </c>
      <c r="I163" s="1" t="n">
        <v>118</v>
      </c>
      <c r="J163" s="1" t="s">
        <v>59</v>
      </c>
      <c r="K163" s="27" t="s">
        <v>54</v>
      </c>
      <c r="L163" s="1" t="str">
        <f aca="false">TEXT(A163,"mmm-yyyy")</f>
        <v>Jun-2026</v>
      </c>
      <c r="M163" s="28" t="n">
        <f aca="false">DATE(YEAR(A163),MONTH(A163),1)</f>
        <v>46174</v>
      </c>
    </row>
    <row r="164" customFormat="false" ht="14.25" hidden="false" customHeight="true" outlineLevel="0" collapsed="false">
      <c r="A164" s="25" t="n">
        <v>46186</v>
      </c>
      <c r="B164" s="1" t="s">
        <v>2</v>
      </c>
      <c r="C164" s="1" t="s">
        <v>49</v>
      </c>
      <c r="D164" s="1" t="s">
        <v>60</v>
      </c>
      <c r="E164" s="1" t="s">
        <v>51</v>
      </c>
      <c r="F164" s="1" t="s">
        <v>58</v>
      </c>
      <c r="G164" s="26" t="n">
        <v>0.6875</v>
      </c>
      <c r="H164" s="26" t="n">
        <v>0.748611111111111</v>
      </c>
      <c r="I164" s="1" t="n">
        <v>88</v>
      </c>
      <c r="J164" s="1" t="s">
        <v>69</v>
      </c>
      <c r="K164" s="27" t="s">
        <v>54</v>
      </c>
      <c r="L164" s="1" t="str">
        <f aca="false">TEXT(A164,"mmm-yyyy")</f>
        <v>Jun-2026</v>
      </c>
      <c r="M164" s="28" t="n">
        <f aca="false">DATE(YEAR(A164),MONTH(A164),1)</f>
        <v>46174</v>
      </c>
    </row>
    <row r="165" customFormat="false" ht="14.25" hidden="false" customHeight="true" outlineLevel="0" collapsed="false">
      <c r="A165" s="25" t="n">
        <v>46187</v>
      </c>
      <c r="B165" s="1" t="s">
        <v>73</v>
      </c>
      <c r="C165" s="1" t="s">
        <v>66</v>
      </c>
      <c r="D165" s="1" t="s">
        <v>74</v>
      </c>
      <c r="E165" s="1" t="s">
        <v>67</v>
      </c>
      <c r="F165" s="1" t="s">
        <v>52</v>
      </c>
      <c r="G165" s="26" t="n">
        <v>0.46875</v>
      </c>
      <c r="H165" s="26" t="n">
        <v>0.552083333333333</v>
      </c>
      <c r="I165" s="1" t="n">
        <v>120</v>
      </c>
      <c r="J165" s="1" t="s">
        <v>59</v>
      </c>
      <c r="K165" s="27" t="s">
        <v>54</v>
      </c>
      <c r="L165" s="1" t="str">
        <f aca="false">TEXT(A165,"mmm-yyyy")</f>
        <v>Jun-2026</v>
      </c>
      <c r="M165" s="28" t="n">
        <f aca="false">DATE(YEAR(A165),MONTH(A165),1)</f>
        <v>46174</v>
      </c>
    </row>
    <row r="166" customFormat="false" ht="14.25" hidden="false" customHeight="true" outlineLevel="0" collapsed="false">
      <c r="A166" s="25" t="n">
        <v>46188</v>
      </c>
      <c r="B166" s="1" t="s">
        <v>63</v>
      </c>
      <c r="C166" s="1" t="s">
        <v>71</v>
      </c>
      <c r="D166" s="1" t="s">
        <v>50</v>
      </c>
      <c r="E166" s="1" t="s">
        <v>72</v>
      </c>
      <c r="F166" s="1" t="s">
        <v>70</v>
      </c>
      <c r="G166" s="26" t="n">
        <v>0.635416666666667</v>
      </c>
      <c r="H166" s="26" t="n">
        <v>0.656944444444444</v>
      </c>
      <c r="I166" s="1" t="n">
        <v>31</v>
      </c>
      <c r="J166" s="1" t="s">
        <v>61</v>
      </c>
      <c r="K166" s="27" t="s">
        <v>54</v>
      </c>
      <c r="L166" s="1" t="str">
        <f aca="false">TEXT(A166,"mmm-yyyy")</f>
        <v>Jun-2026</v>
      </c>
      <c r="M166" s="28" t="n">
        <f aca="false">DATE(YEAR(A166),MONTH(A166),1)</f>
        <v>46174</v>
      </c>
    </row>
    <row r="167" customFormat="false" ht="14.25" hidden="false" customHeight="true" outlineLevel="0" collapsed="false">
      <c r="A167" s="25" t="n">
        <v>46189</v>
      </c>
      <c r="B167" s="1" t="s">
        <v>2</v>
      </c>
      <c r="C167" s="1" t="s">
        <v>49</v>
      </c>
      <c r="D167" s="1" t="s">
        <v>60</v>
      </c>
      <c r="E167" s="1" t="s">
        <v>51</v>
      </c>
      <c r="F167" s="1" t="s">
        <v>52</v>
      </c>
      <c r="G167" s="26" t="n">
        <v>0.697916666666667</v>
      </c>
      <c r="H167" s="26" t="n">
        <v>0.760416666666667</v>
      </c>
      <c r="I167" s="1" t="n">
        <v>90</v>
      </c>
      <c r="J167" s="1" t="s">
        <v>53</v>
      </c>
      <c r="K167" s="27" t="s">
        <v>54</v>
      </c>
      <c r="L167" s="1" t="str">
        <f aca="false">TEXT(A167,"mmm-yyyy")</f>
        <v>Jun-2026</v>
      </c>
      <c r="M167" s="28" t="n">
        <f aca="false">DATE(YEAR(A167),MONTH(A167),1)</f>
        <v>46174</v>
      </c>
    </row>
    <row r="168" customFormat="false" ht="14.25" hidden="false" customHeight="true" outlineLevel="0" collapsed="false">
      <c r="A168" s="25" t="n">
        <v>46190</v>
      </c>
      <c r="B168" s="1" t="s">
        <v>73</v>
      </c>
      <c r="C168" s="1" t="s">
        <v>64</v>
      </c>
      <c r="D168" s="1" t="s">
        <v>60</v>
      </c>
      <c r="E168" s="1" t="s">
        <v>65</v>
      </c>
      <c r="F168" s="1" t="s">
        <v>70</v>
      </c>
      <c r="G168" s="26" t="n">
        <v>0.625</v>
      </c>
      <c r="H168" s="26" t="n">
        <v>0.6625</v>
      </c>
      <c r="I168" s="1" t="n">
        <v>54</v>
      </c>
      <c r="J168" s="1" t="s">
        <v>53</v>
      </c>
      <c r="K168" s="27" t="s">
        <v>54</v>
      </c>
      <c r="L168" s="1" t="str">
        <f aca="false">TEXT(A168,"mmm-yyyy")</f>
        <v>Jun-2026</v>
      </c>
      <c r="M168" s="28" t="n">
        <f aca="false">DATE(YEAR(A168),MONTH(A168),1)</f>
        <v>46174</v>
      </c>
    </row>
    <row r="169" customFormat="false" ht="14.25" hidden="false" customHeight="true" outlineLevel="0" collapsed="false">
      <c r="A169" s="25" t="n">
        <v>46191</v>
      </c>
      <c r="B169" s="1" t="s">
        <v>73</v>
      </c>
      <c r="C169" s="1" t="s">
        <v>49</v>
      </c>
      <c r="D169" s="1" t="s">
        <v>62</v>
      </c>
      <c r="E169" s="1" t="s">
        <v>51</v>
      </c>
      <c r="F169" s="1" t="s">
        <v>58</v>
      </c>
      <c r="G169" s="26" t="n">
        <v>0.46875</v>
      </c>
      <c r="H169" s="26" t="n">
        <v>0.502083333333333</v>
      </c>
      <c r="I169" s="1" t="n">
        <v>48</v>
      </c>
      <c r="J169" s="1" t="s">
        <v>69</v>
      </c>
      <c r="K169" s="27" t="s">
        <v>54</v>
      </c>
      <c r="L169" s="1" t="str">
        <f aca="false">TEXT(A169,"mmm-yyyy")</f>
        <v>Jun-2026</v>
      </c>
      <c r="M169" s="28" t="n">
        <f aca="false">DATE(YEAR(A169),MONTH(A169),1)</f>
        <v>46174</v>
      </c>
    </row>
    <row r="170" customFormat="false" ht="14.25" hidden="false" customHeight="true" outlineLevel="0" collapsed="false">
      <c r="A170" s="25" t="n">
        <v>46192</v>
      </c>
      <c r="B170" s="1" t="s">
        <v>68</v>
      </c>
      <c r="C170" s="1" t="s">
        <v>71</v>
      </c>
      <c r="D170" s="1" t="s">
        <v>50</v>
      </c>
      <c r="E170" s="1" t="s">
        <v>72</v>
      </c>
      <c r="F170" s="1" t="s">
        <v>58</v>
      </c>
      <c r="G170" s="26" t="n">
        <v>0.53125</v>
      </c>
      <c r="H170" s="26" t="n">
        <v>0.604166666666667</v>
      </c>
      <c r="I170" s="1" t="n">
        <v>105</v>
      </c>
      <c r="J170" s="1" t="s">
        <v>59</v>
      </c>
      <c r="K170" s="27" t="s">
        <v>54</v>
      </c>
      <c r="L170" s="1" t="str">
        <f aca="false">TEXT(A170,"mmm-yyyy")</f>
        <v>Jun-2026</v>
      </c>
      <c r="M170" s="28" t="n">
        <f aca="false">DATE(YEAR(A170),MONTH(A170),1)</f>
        <v>46174</v>
      </c>
    </row>
    <row r="171" customFormat="false" ht="14.25" hidden="false" customHeight="true" outlineLevel="0" collapsed="false">
      <c r="A171" s="25" t="n">
        <v>46193</v>
      </c>
      <c r="B171" s="1" t="s">
        <v>55</v>
      </c>
      <c r="C171" s="1" t="s">
        <v>64</v>
      </c>
      <c r="D171" s="1" t="s">
        <v>60</v>
      </c>
      <c r="E171" s="1" t="s">
        <v>65</v>
      </c>
      <c r="F171" s="1" t="s">
        <v>70</v>
      </c>
      <c r="G171" s="26" t="n">
        <v>0.4375</v>
      </c>
      <c r="H171" s="26" t="n">
        <v>0.481944444444445</v>
      </c>
      <c r="I171" s="1" t="n">
        <v>64</v>
      </c>
      <c r="J171" s="1" t="s">
        <v>59</v>
      </c>
      <c r="K171" s="27" t="s">
        <v>54</v>
      </c>
      <c r="L171" s="1" t="str">
        <f aca="false">TEXT(A171,"mmm-yyyy")</f>
        <v>Jun-2026</v>
      </c>
      <c r="M171" s="28" t="n">
        <f aca="false">DATE(YEAR(A171),MONTH(A171),1)</f>
        <v>46174</v>
      </c>
    </row>
    <row r="172" customFormat="false" ht="14.25" hidden="false" customHeight="true" outlineLevel="0" collapsed="false">
      <c r="A172" s="25" t="n">
        <v>46194</v>
      </c>
      <c r="B172" s="1" t="s">
        <v>2</v>
      </c>
      <c r="C172" s="1" t="s">
        <v>56</v>
      </c>
      <c r="D172" s="1" t="s">
        <v>62</v>
      </c>
      <c r="E172" s="1" t="s">
        <v>57</v>
      </c>
      <c r="F172" s="1" t="s">
        <v>70</v>
      </c>
      <c r="G172" s="26" t="n">
        <v>0.65625</v>
      </c>
      <c r="H172" s="26" t="n">
        <v>0.684027777777778</v>
      </c>
      <c r="I172" s="1" t="n">
        <v>40</v>
      </c>
      <c r="J172" s="1" t="s">
        <v>61</v>
      </c>
      <c r="K172" s="27" t="s">
        <v>54</v>
      </c>
      <c r="L172" s="1" t="str">
        <f aca="false">TEXT(A172,"mmm-yyyy")</f>
        <v>Jun-2026</v>
      </c>
      <c r="M172" s="28" t="n">
        <f aca="false">DATE(YEAR(A172),MONTH(A172),1)</f>
        <v>46174</v>
      </c>
    </row>
    <row r="173" customFormat="false" ht="14.25" hidden="false" customHeight="true" outlineLevel="0" collapsed="false">
      <c r="A173" s="25" t="n">
        <v>46195</v>
      </c>
      <c r="B173" s="1" t="s">
        <v>63</v>
      </c>
      <c r="C173" s="1" t="s">
        <v>71</v>
      </c>
      <c r="D173" s="1" t="s">
        <v>74</v>
      </c>
      <c r="E173" s="1" t="s">
        <v>72</v>
      </c>
      <c r="F173" s="1" t="s">
        <v>58</v>
      </c>
      <c r="G173" s="26" t="n">
        <v>0.6875</v>
      </c>
      <c r="H173" s="26" t="n">
        <v>0.744444444444445</v>
      </c>
      <c r="I173" s="1" t="n">
        <v>82</v>
      </c>
      <c r="J173" s="1" t="s">
        <v>61</v>
      </c>
      <c r="K173" s="27" t="s">
        <v>54</v>
      </c>
      <c r="L173" s="1" t="str">
        <f aca="false">TEXT(A173,"mmm-yyyy")</f>
        <v>Jun-2026</v>
      </c>
      <c r="M173" s="28" t="n">
        <f aca="false">DATE(YEAR(A173),MONTH(A173),1)</f>
        <v>46174</v>
      </c>
    </row>
    <row r="174" customFormat="false" ht="14.25" hidden="false" customHeight="true" outlineLevel="0" collapsed="false">
      <c r="A174" s="25" t="n">
        <v>46196</v>
      </c>
      <c r="B174" s="1" t="s">
        <v>68</v>
      </c>
      <c r="C174" s="1" t="s">
        <v>49</v>
      </c>
      <c r="D174" s="1" t="s">
        <v>60</v>
      </c>
      <c r="E174" s="1" t="s">
        <v>51</v>
      </c>
      <c r="F174" s="1" t="s">
        <v>58</v>
      </c>
      <c r="G174" s="26" t="n">
        <v>0.385416666666667</v>
      </c>
      <c r="H174" s="26" t="n">
        <v>0.404166666666667</v>
      </c>
      <c r="I174" s="1" t="n">
        <v>27</v>
      </c>
      <c r="J174" s="1" t="s">
        <v>69</v>
      </c>
      <c r="K174" s="27" t="s">
        <v>54</v>
      </c>
      <c r="L174" s="1" t="str">
        <f aca="false">TEXT(A174,"mmm-yyyy")</f>
        <v>Jun-2026</v>
      </c>
      <c r="M174" s="28" t="n">
        <f aca="false">DATE(YEAR(A174),MONTH(A174),1)</f>
        <v>46174</v>
      </c>
    </row>
    <row r="175" customFormat="false" ht="14.25" hidden="false" customHeight="true" outlineLevel="0" collapsed="false">
      <c r="A175" s="25" t="n">
        <v>46197</v>
      </c>
      <c r="B175" s="1" t="s">
        <v>55</v>
      </c>
      <c r="C175" s="1" t="s">
        <v>49</v>
      </c>
      <c r="D175" s="1" t="s">
        <v>60</v>
      </c>
      <c r="E175" s="1" t="s">
        <v>51</v>
      </c>
      <c r="F175" s="1" t="s">
        <v>58</v>
      </c>
      <c r="G175" s="26" t="n">
        <v>0.479166666666667</v>
      </c>
      <c r="H175" s="26" t="n">
        <v>0.555555555555556</v>
      </c>
      <c r="I175" s="1" t="n">
        <v>110</v>
      </c>
      <c r="J175" s="1" t="s">
        <v>69</v>
      </c>
      <c r="K175" s="27" t="s">
        <v>54</v>
      </c>
      <c r="L175" s="1" t="str">
        <f aca="false">TEXT(A175,"mmm-yyyy")</f>
        <v>Jun-2026</v>
      </c>
      <c r="M175" s="28" t="n">
        <f aca="false">DATE(YEAR(A175),MONTH(A175),1)</f>
        <v>46174</v>
      </c>
    </row>
    <row r="176" customFormat="false" ht="14.25" hidden="false" customHeight="true" outlineLevel="0" collapsed="false">
      <c r="A176" s="25" t="n">
        <v>46198</v>
      </c>
      <c r="B176" s="1" t="s">
        <v>2</v>
      </c>
      <c r="C176" s="1" t="s">
        <v>49</v>
      </c>
      <c r="D176" s="1" t="s">
        <v>62</v>
      </c>
      <c r="E176" s="1" t="s">
        <v>51</v>
      </c>
      <c r="F176" s="1" t="s">
        <v>58</v>
      </c>
      <c r="G176" s="26" t="n">
        <v>0.604166666666667</v>
      </c>
      <c r="H176" s="26" t="n">
        <v>0.680555555555556</v>
      </c>
      <c r="I176" s="1" t="n">
        <v>110</v>
      </c>
      <c r="J176" s="1" t="s">
        <v>69</v>
      </c>
      <c r="K176" s="27" t="s">
        <v>54</v>
      </c>
      <c r="L176" s="1" t="str">
        <f aca="false">TEXT(A176,"mmm-yyyy")</f>
        <v>Jun-2026</v>
      </c>
      <c r="M176" s="28" t="n">
        <f aca="false">DATE(YEAR(A176),MONTH(A176),1)</f>
        <v>46174</v>
      </c>
    </row>
    <row r="177" customFormat="false" ht="14.25" hidden="false" customHeight="true" outlineLevel="0" collapsed="false">
      <c r="A177" s="25" t="n">
        <v>46199</v>
      </c>
      <c r="B177" s="1" t="s">
        <v>68</v>
      </c>
      <c r="C177" s="1" t="s">
        <v>66</v>
      </c>
      <c r="D177" s="1" t="s">
        <v>74</v>
      </c>
      <c r="E177" s="1" t="s">
        <v>67</v>
      </c>
      <c r="F177" s="1" t="s">
        <v>58</v>
      </c>
      <c r="G177" s="26" t="n">
        <v>0.479166666666667</v>
      </c>
      <c r="H177" s="26" t="n">
        <v>0.547916666666667</v>
      </c>
      <c r="I177" s="1" t="n">
        <v>99</v>
      </c>
      <c r="J177" s="1" t="s">
        <v>69</v>
      </c>
      <c r="K177" s="27" t="s">
        <v>54</v>
      </c>
      <c r="L177" s="1" t="str">
        <f aca="false">TEXT(A177,"mmm-yyyy")</f>
        <v>Jun-2026</v>
      </c>
      <c r="M177" s="28" t="n">
        <f aca="false">DATE(YEAR(A177),MONTH(A177),1)</f>
        <v>46174</v>
      </c>
    </row>
    <row r="178" customFormat="false" ht="14.25" hidden="false" customHeight="true" outlineLevel="0" collapsed="false">
      <c r="A178" s="25" t="n">
        <v>46200</v>
      </c>
      <c r="B178" s="1" t="s">
        <v>68</v>
      </c>
      <c r="C178" s="1" t="s">
        <v>66</v>
      </c>
      <c r="D178" s="1" t="s">
        <v>60</v>
      </c>
      <c r="E178" s="1" t="s">
        <v>67</v>
      </c>
      <c r="F178" s="1" t="s">
        <v>70</v>
      </c>
      <c r="G178" s="26" t="n">
        <v>0.635416666666667</v>
      </c>
      <c r="H178" s="26" t="n">
        <v>0.675</v>
      </c>
      <c r="I178" s="1" t="n">
        <v>57</v>
      </c>
      <c r="J178" s="1" t="s">
        <v>69</v>
      </c>
      <c r="K178" s="27" t="s">
        <v>54</v>
      </c>
      <c r="L178" s="1" t="str">
        <f aca="false">TEXT(A178,"mmm-yyyy")</f>
        <v>Jun-2026</v>
      </c>
      <c r="M178" s="28" t="n">
        <f aca="false">DATE(YEAR(A178),MONTH(A178),1)</f>
        <v>46174</v>
      </c>
    </row>
    <row r="179" customFormat="false" ht="14.25" hidden="false" customHeight="true" outlineLevel="0" collapsed="false">
      <c r="A179" s="25" t="n">
        <v>46201</v>
      </c>
      <c r="B179" s="1" t="s">
        <v>2</v>
      </c>
      <c r="C179" s="1" t="s">
        <v>66</v>
      </c>
      <c r="D179" s="1" t="s">
        <v>74</v>
      </c>
      <c r="E179" s="1" t="s">
        <v>67</v>
      </c>
      <c r="F179" s="1" t="s">
        <v>70</v>
      </c>
      <c r="G179" s="26" t="n">
        <v>0.697916666666667</v>
      </c>
      <c r="H179" s="26" t="n">
        <v>0.715277777777778</v>
      </c>
      <c r="I179" s="1" t="n">
        <v>25</v>
      </c>
      <c r="J179" s="1" t="s">
        <v>61</v>
      </c>
      <c r="K179" s="27" t="s">
        <v>54</v>
      </c>
      <c r="L179" s="1" t="str">
        <f aca="false">TEXT(A179,"mmm-yyyy")</f>
        <v>Jun-2026</v>
      </c>
      <c r="M179" s="28" t="n">
        <f aca="false">DATE(YEAR(A179),MONTH(A179),1)</f>
        <v>46174</v>
      </c>
    </row>
    <row r="180" customFormat="false" ht="14.25" hidden="false" customHeight="true" outlineLevel="0" collapsed="false">
      <c r="A180" s="25" t="n">
        <v>46202</v>
      </c>
      <c r="B180" s="1" t="s">
        <v>55</v>
      </c>
      <c r="C180" s="1" t="s">
        <v>64</v>
      </c>
      <c r="D180" s="1" t="s">
        <v>60</v>
      </c>
      <c r="E180" s="1" t="s">
        <v>65</v>
      </c>
      <c r="F180" s="1" t="s">
        <v>70</v>
      </c>
      <c r="G180" s="26" t="n">
        <v>0.46875</v>
      </c>
      <c r="H180" s="26" t="n">
        <v>0.491666666666667</v>
      </c>
      <c r="I180" s="1" t="n">
        <v>33</v>
      </c>
      <c r="J180" s="1" t="s">
        <v>61</v>
      </c>
      <c r="K180" s="27" t="s">
        <v>54</v>
      </c>
      <c r="L180" s="1" t="str">
        <f aca="false">TEXT(A180,"mmm-yyyy")</f>
        <v>Jun-2026</v>
      </c>
      <c r="M180" s="28" t="n">
        <f aca="false">DATE(YEAR(A180),MONTH(A180),1)</f>
        <v>46174</v>
      </c>
    </row>
    <row r="181" customFormat="false" ht="14.25" hidden="false" customHeight="true" outlineLevel="0" collapsed="false">
      <c r="A181" s="25" t="n">
        <v>46203</v>
      </c>
      <c r="B181" s="1" t="s">
        <v>68</v>
      </c>
      <c r="C181" s="1" t="s">
        <v>49</v>
      </c>
      <c r="D181" s="1" t="s">
        <v>62</v>
      </c>
      <c r="E181" s="1" t="s">
        <v>51</v>
      </c>
      <c r="F181" s="1" t="s">
        <v>58</v>
      </c>
      <c r="G181" s="26" t="n">
        <v>0.489583333333333</v>
      </c>
      <c r="H181" s="26" t="n">
        <v>0.507638888888889</v>
      </c>
      <c r="I181" s="1" t="n">
        <v>26</v>
      </c>
      <c r="J181" s="1" t="s">
        <v>59</v>
      </c>
      <c r="K181" s="27" t="s">
        <v>54</v>
      </c>
      <c r="L181" s="1" t="str">
        <f aca="false">TEXT(A181,"mmm-yyyy")</f>
        <v>Jun-2026</v>
      </c>
      <c r="M181" s="28" t="n">
        <f aca="false">DATE(YEAR(A181),MONTH(A181),1)</f>
        <v>46174</v>
      </c>
    </row>
    <row r="182" customFormat="false" ht="14.25" hidden="false" customHeight="true" outlineLevel="0" collapsed="false">
      <c r="A182" s="25" t="n">
        <v>46174</v>
      </c>
      <c r="B182" s="1" t="s">
        <v>68</v>
      </c>
      <c r="C182" s="1" t="s">
        <v>49</v>
      </c>
      <c r="D182" s="1" t="s">
        <v>74</v>
      </c>
      <c r="E182" s="1" t="s">
        <v>51</v>
      </c>
      <c r="F182" s="1" t="s">
        <v>52</v>
      </c>
      <c r="G182" s="26" t="n">
        <v>0.53125</v>
      </c>
      <c r="H182" s="26" t="n">
        <v>0.58125</v>
      </c>
      <c r="I182" s="1" t="n">
        <v>72</v>
      </c>
      <c r="J182" s="1" t="s">
        <v>53</v>
      </c>
      <c r="K182" s="27" t="s">
        <v>54</v>
      </c>
      <c r="L182" s="1" t="str">
        <f aca="false">TEXT(A182,"mmm-yyyy")</f>
        <v>Jun-2026</v>
      </c>
      <c r="M182" s="28" t="n">
        <f aca="false">DATE(YEAR(A182),MONTH(A182),1)</f>
        <v>46174</v>
      </c>
    </row>
    <row r="183" customFormat="false" ht="14.25" hidden="false" customHeight="true" outlineLevel="0" collapsed="false">
      <c r="A183" s="25" t="n">
        <v>46175</v>
      </c>
      <c r="B183" s="1" t="s">
        <v>55</v>
      </c>
      <c r="C183" s="1" t="s">
        <v>71</v>
      </c>
      <c r="D183" s="1" t="s">
        <v>62</v>
      </c>
      <c r="E183" s="1" t="s">
        <v>72</v>
      </c>
      <c r="F183" s="1" t="s">
        <v>70</v>
      </c>
      <c r="G183" s="26" t="n">
        <v>0.552083333333333</v>
      </c>
      <c r="H183" s="26" t="n">
        <v>0.5875</v>
      </c>
      <c r="I183" s="1" t="n">
        <v>51</v>
      </c>
      <c r="J183" s="1" t="s">
        <v>59</v>
      </c>
      <c r="K183" s="27" t="s">
        <v>54</v>
      </c>
      <c r="L183" s="1" t="str">
        <f aca="false">TEXT(A183,"mmm-yyyy")</f>
        <v>Jun-2026</v>
      </c>
      <c r="M183" s="28" t="n">
        <f aca="false">DATE(YEAR(A183),MONTH(A183),1)</f>
        <v>46174</v>
      </c>
    </row>
    <row r="184" customFormat="false" ht="14.25" hidden="false" customHeight="true" outlineLevel="0" collapsed="false">
      <c r="A184" s="25" t="n">
        <v>46176</v>
      </c>
      <c r="B184" s="1" t="s">
        <v>63</v>
      </c>
      <c r="C184" s="1" t="s">
        <v>49</v>
      </c>
      <c r="D184" s="1" t="s">
        <v>74</v>
      </c>
      <c r="E184" s="1" t="s">
        <v>51</v>
      </c>
      <c r="F184" s="1" t="s">
        <v>70</v>
      </c>
      <c r="G184" s="26" t="n">
        <v>0.40625</v>
      </c>
      <c r="H184" s="26" t="n">
        <v>0.475</v>
      </c>
      <c r="I184" s="1" t="n">
        <v>99</v>
      </c>
      <c r="J184" s="1" t="s">
        <v>61</v>
      </c>
      <c r="K184" s="27" t="s">
        <v>54</v>
      </c>
      <c r="L184" s="1" t="str">
        <f aca="false">TEXT(A184,"mmm-yyyy")</f>
        <v>Jun-2026</v>
      </c>
      <c r="M184" s="28" t="n">
        <f aca="false">DATE(YEAR(A184),MONTH(A184),1)</f>
        <v>46174</v>
      </c>
    </row>
    <row r="185" customFormat="false" ht="14.25" hidden="false" customHeight="true" outlineLevel="0" collapsed="false">
      <c r="A185" s="25" t="n">
        <v>46177</v>
      </c>
      <c r="B185" s="1" t="s">
        <v>73</v>
      </c>
      <c r="C185" s="1" t="s">
        <v>66</v>
      </c>
      <c r="D185" s="1" t="s">
        <v>60</v>
      </c>
      <c r="E185" s="1" t="s">
        <v>67</v>
      </c>
      <c r="F185" s="1" t="s">
        <v>70</v>
      </c>
      <c r="G185" s="26" t="n">
        <v>0.458333333333333</v>
      </c>
      <c r="H185" s="26" t="n">
        <v>0.4875</v>
      </c>
      <c r="I185" s="1" t="n">
        <v>42</v>
      </c>
      <c r="J185" s="1" t="s">
        <v>59</v>
      </c>
      <c r="K185" s="27" t="s">
        <v>54</v>
      </c>
      <c r="L185" s="1" t="str">
        <f aca="false">TEXT(A185,"mmm-yyyy")</f>
        <v>Jun-2026</v>
      </c>
      <c r="M185" s="28" t="n">
        <f aca="false">DATE(YEAR(A185),MONTH(A185),1)</f>
        <v>46174</v>
      </c>
    </row>
    <row r="186" customFormat="false" ht="14.25" hidden="false" customHeight="true" outlineLevel="0" collapsed="false">
      <c r="A186" s="25" t="n">
        <v>46178</v>
      </c>
      <c r="B186" s="1" t="s">
        <v>55</v>
      </c>
      <c r="C186" s="1" t="s">
        <v>49</v>
      </c>
      <c r="D186" s="1" t="s">
        <v>62</v>
      </c>
      <c r="E186" s="1" t="s">
        <v>51</v>
      </c>
      <c r="F186" s="1" t="s">
        <v>58</v>
      </c>
      <c r="G186" s="26" t="n">
        <v>0.489583333333333</v>
      </c>
      <c r="H186" s="26" t="n">
        <v>0.520833333333333</v>
      </c>
      <c r="I186" s="1" t="n">
        <v>45</v>
      </c>
      <c r="J186" s="1" t="s">
        <v>69</v>
      </c>
      <c r="K186" s="27" t="s">
        <v>54</v>
      </c>
      <c r="L186" s="1" t="str">
        <f aca="false">TEXT(A186,"mmm-yyyy")</f>
        <v>Jun-2026</v>
      </c>
      <c r="M186" s="28" t="n">
        <f aca="false">DATE(YEAR(A186),MONTH(A186),1)</f>
        <v>46174</v>
      </c>
    </row>
    <row r="187" customFormat="false" ht="14.25" hidden="false" customHeight="true" outlineLevel="0" collapsed="false">
      <c r="A187" s="25" t="n">
        <v>46179</v>
      </c>
      <c r="B187" s="1" t="s">
        <v>63</v>
      </c>
      <c r="C187" s="1" t="s">
        <v>49</v>
      </c>
      <c r="D187" s="1" t="s">
        <v>60</v>
      </c>
      <c r="E187" s="1" t="s">
        <v>51</v>
      </c>
      <c r="F187" s="1" t="s">
        <v>70</v>
      </c>
      <c r="G187" s="26" t="n">
        <v>0.5</v>
      </c>
      <c r="H187" s="26" t="n">
        <v>0.521527777777778</v>
      </c>
      <c r="I187" s="1" t="n">
        <v>31</v>
      </c>
      <c r="J187" s="1" t="s">
        <v>61</v>
      </c>
      <c r="K187" s="27" t="s">
        <v>54</v>
      </c>
      <c r="L187" s="1" t="str">
        <f aca="false">TEXT(A187,"mmm-yyyy")</f>
        <v>Jun-2026</v>
      </c>
      <c r="M187" s="28" t="n">
        <f aca="false">DATE(YEAR(A187),MONTH(A187),1)</f>
        <v>46174</v>
      </c>
    </row>
    <row r="188" customFormat="false" ht="14.25" hidden="false" customHeight="true" outlineLevel="0" collapsed="false">
      <c r="A188" s="25" t="n">
        <v>46180</v>
      </c>
      <c r="B188" s="1" t="s">
        <v>73</v>
      </c>
      <c r="C188" s="1" t="s">
        <v>49</v>
      </c>
      <c r="D188" s="1" t="s">
        <v>74</v>
      </c>
      <c r="E188" s="1" t="s">
        <v>51</v>
      </c>
      <c r="F188" s="1" t="s">
        <v>52</v>
      </c>
      <c r="G188" s="26" t="n">
        <v>0.666666666666667</v>
      </c>
      <c r="H188" s="26" t="n">
        <v>0.747916666666667</v>
      </c>
      <c r="I188" s="1" t="n">
        <v>117</v>
      </c>
      <c r="J188" s="1" t="s">
        <v>53</v>
      </c>
      <c r="K188" s="27" t="s">
        <v>54</v>
      </c>
      <c r="L188" s="1" t="str">
        <f aca="false">TEXT(A188,"mmm-yyyy")</f>
        <v>Jun-2026</v>
      </c>
      <c r="M188" s="28" t="n">
        <f aca="false">DATE(YEAR(A188),MONTH(A188),1)</f>
        <v>46174</v>
      </c>
    </row>
    <row r="189" customFormat="false" ht="14.25" hidden="false" customHeight="true" outlineLevel="0" collapsed="false">
      <c r="A189" s="25" t="n">
        <v>46181</v>
      </c>
      <c r="B189" s="1" t="s">
        <v>63</v>
      </c>
      <c r="C189" s="1" t="s">
        <v>49</v>
      </c>
      <c r="D189" s="1" t="s">
        <v>74</v>
      </c>
      <c r="E189" s="1" t="s">
        <v>51</v>
      </c>
      <c r="F189" s="1" t="s">
        <v>70</v>
      </c>
      <c r="G189" s="26" t="n">
        <v>0.458333333333333</v>
      </c>
      <c r="H189" s="26" t="n">
        <v>0.486805555555556</v>
      </c>
      <c r="I189" s="1" t="n">
        <v>41</v>
      </c>
      <c r="J189" s="1" t="s">
        <v>61</v>
      </c>
      <c r="K189" s="27" t="s">
        <v>54</v>
      </c>
      <c r="L189" s="1" t="str">
        <f aca="false">TEXT(A189,"mmm-yyyy")</f>
        <v>Jun-2026</v>
      </c>
      <c r="M189" s="28" t="n">
        <f aca="false">DATE(YEAR(A189),MONTH(A189),1)</f>
        <v>46174</v>
      </c>
    </row>
    <row r="190" customFormat="false" ht="14.25" hidden="false" customHeight="true" outlineLevel="0" collapsed="false">
      <c r="A190" s="25" t="n">
        <v>46182</v>
      </c>
      <c r="B190" s="1" t="s">
        <v>73</v>
      </c>
      <c r="C190" s="1" t="s">
        <v>56</v>
      </c>
      <c r="D190" s="1" t="s">
        <v>74</v>
      </c>
      <c r="E190" s="1" t="s">
        <v>57</v>
      </c>
      <c r="F190" s="1" t="s">
        <v>70</v>
      </c>
      <c r="G190" s="26" t="n">
        <v>0.541666666666667</v>
      </c>
      <c r="H190" s="26" t="n">
        <v>0.559722222222222</v>
      </c>
      <c r="I190" s="1" t="n">
        <v>26</v>
      </c>
      <c r="J190" s="1" t="s">
        <v>69</v>
      </c>
      <c r="K190" s="27" t="s">
        <v>54</v>
      </c>
      <c r="L190" s="1" t="str">
        <f aca="false">TEXT(A190,"mmm-yyyy")</f>
        <v>Jun-2026</v>
      </c>
      <c r="M190" s="28" t="n">
        <f aca="false">DATE(YEAR(A190),MONTH(A190),1)</f>
        <v>46174</v>
      </c>
    </row>
    <row r="191" customFormat="false" ht="14.25" hidden="false" customHeight="true" outlineLevel="0" collapsed="false">
      <c r="A191" s="25" t="n">
        <v>46183</v>
      </c>
      <c r="B191" s="1" t="s">
        <v>55</v>
      </c>
      <c r="C191" s="1" t="s">
        <v>71</v>
      </c>
      <c r="D191" s="1" t="s">
        <v>74</v>
      </c>
      <c r="E191" s="1" t="s">
        <v>72</v>
      </c>
      <c r="F191" s="1" t="s">
        <v>52</v>
      </c>
      <c r="G191" s="26" t="n">
        <v>0.5625</v>
      </c>
      <c r="H191" s="26" t="n">
        <v>0.619444444444445</v>
      </c>
      <c r="I191" s="1" t="n">
        <v>82</v>
      </c>
      <c r="J191" s="1" t="s">
        <v>69</v>
      </c>
      <c r="K191" s="27" t="s">
        <v>54</v>
      </c>
      <c r="L191" s="1" t="str">
        <f aca="false">TEXT(A191,"mmm-yyyy")</f>
        <v>Jun-2026</v>
      </c>
      <c r="M191" s="28" t="n">
        <f aca="false">DATE(YEAR(A191),MONTH(A191),1)</f>
        <v>46174</v>
      </c>
    </row>
    <row r="192" customFormat="false" ht="14.25" hidden="false" customHeight="true" outlineLevel="0" collapsed="false">
      <c r="A192" s="25" t="n">
        <v>46184</v>
      </c>
      <c r="B192" s="1" t="s">
        <v>68</v>
      </c>
      <c r="C192" s="1" t="s">
        <v>66</v>
      </c>
      <c r="D192" s="1" t="s">
        <v>50</v>
      </c>
      <c r="E192" s="1" t="s">
        <v>67</v>
      </c>
      <c r="F192" s="1" t="s">
        <v>52</v>
      </c>
      <c r="G192" s="26" t="n">
        <v>0.40625</v>
      </c>
      <c r="H192" s="26" t="n">
        <v>0.422222222222222</v>
      </c>
      <c r="I192" s="1" t="n">
        <v>23</v>
      </c>
      <c r="J192" s="1" t="s">
        <v>53</v>
      </c>
      <c r="K192" s="27" t="s">
        <v>54</v>
      </c>
      <c r="L192" s="1" t="str">
        <f aca="false">TEXT(A192,"mmm-yyyy")</f>
        <v>Jun-2026</v>
      </c>
      <c r="M192" s="28" t="n">
        <f aca="false">DATE(YEAR(A192),MONTH(A192),1)</f>
        <v>46174</v>
      </c>
    </row>
    <row r="193" customFormat="false" ht="14.25" hidden="false" customHeight="true" outlineLevel="0" collapsed="false">
      <c r="A193" s="25" t="n">
        <v>46185</v>
      </c>
      <c r="B193" s="1" t="s">
        <v>73</v>
      </c>
      <c r="C193" s="1" t="s">
        <v>66</v>
      </c>
      <c r="D193" s="1" t="s">
        <v>74</v>
      </c>
      <c r="E193" s="1" t="s">
        <v>67</v>
      </c>
      <c r="F193" s="1" t="s">
        <v>70</v>
      </c>
      <c r="G193" s="26" t="n">
        <v>0.645833333333333</v>
      </c>
      <c r="H193" s="26" t="n">
        <v>0.661111111111111</v>
      </c>
      <c r="I193" s="1" t="n">
        <v>22</v>
      </c>
      <c r="J193" s="1" t="s">
        <v>69</v>
      </c>
      <c r="K193" s="27" t="s">
        <v>54</v>
      </c>
      <c r="L193" s="1" t="str">
        <f aca="false">TEXT(A193,"mmm-yyyy")</f>
        <v>Jun-2026</v>
      </c>
      <c r="M193" s="28" t="n">
        <f aca="false">DATE(YEAR(A193),MONTH(A193),1)</f>
        <v>46174</v>
      </c>
    </row>
    <row r="194" customFormat="false" ht="14.25" hidden="false" customHeight="true" outlineLevel="0" collapsed="false">
      <c r="A194" s="25" t="n">
        <v>46186</v>
      </c>
      <c r="B194" s="1" t="s">
        <v>63</v>
      </c>
      <c r="C194" s="1" t="s">
        <v>56</v>
      </c>
      <c r="D194" s="1" t="s">
        <v>62</v>
      </c>
      <c r="E194" s="1" t="s">
        <v>57</v>
      </c>
      <c r="F194" s="1" t="s">
        <v>58</v>
      </c>
      <c r="G194" s="26" t="n">
        <v>0.5625</v>
      </c>
      <c r="H194" s="26" t="n">
        <v>0.597916666666667</v>
      </c>
      <c r="I194" s="1" t="n">
        <v>51</v>
      </c>
      <c r="J194" s="1" t="s">
        <v>59</v>
      </c>
      <c r="K194" s="27" t="s">
        <v>54</v>
      </c>
      <c r="L194" s="1" t="str">
        <f aca="false">TEXT(A194,"mmm-yyyy")</f>
        <v>Jun-2026</v>
      </c>
      <c r="M194" s="28" t="n">
        <f aca="false">DATE(YEAR(A194),MONTH(A194),1)</f>
        <v>46174</v>
      </c>
    </row>
    <row r="195" customFormat="false" ht="14.25" hidden="false" customHeight="true" outlineLevel="0" collapsed="false">
      <c r="A195" s="25" t="n">
        <v>46187</v>
      </c>
      <c r="B195" s="1" t="s">
        <v>63</v>
      </c>
      <c r="C195" s="1" t="s">
        <v>56</v>
      </c>
      <c r="D195" s="1" t="s">
        <v>74</v>
      </c>
      <c r="E195" s="1" t="s">
        <v>57</v>
      </c>
      <c r="F195" s="1" t="s">
        <v>58</v>
      </c>
      <c r="G195" s="26" t="n">
        <v>0.572916666666667</v>
      </c>
      <c r="H195" s="26" t="n">
        <v>0.589583333333333</v>
      </c>
      <c r="I195" s="1" t="n">
        <v>24</v>
      </c>
      <c r="J195" s="1" t="s">
        <v>69</v>
      </c>
      <c r="K195" s="27" t="s">
        <v>54</v>
      </c>
      <c r="L195" s="1" t="str">
        <f aca="false">TEXT(A195,"mmm-yyyy")</f>
        <v>Jun-2026</v>
      </c>
      <c r="M195" s="28" t="n">
        <f aca="false">DATE(YEAR(A195),MONTH(A195),1)</f>
        <v>46174</v>
      </c>
    </row>
    <row r="196" customFormat="false" ht="14.25" hidden="false" customHeight="true" outlineLevel="0" collapsed="false">
      <c r="A196" s="25" t="n">
        <v>46188</v>
      </c>
      <c r="B196" s="1" t="s">
        <v>63</v>
      </c>
      <c r="C196" s="1" t="s">
        <v>66</v>
      </c>
      <c r="D196" s="1" t="s">
        <v>74</v>
      </c>
      <c r="E196" s="1" t="s">
        <v>67</v>
      </c>
      <c r="F196" s="1" t="s">
        <v>58</v>
      </c>
      <c r="G196" s="26" t="n">
        <v>0.614583333333333</v>
      </c>
      <c r="H196" s="26" t="n">
        <v>0.6625</v>
      </c>
      <c r="I196" s="1" t="n">
        <v>69</v>
      </c>
      <c r="J196" s="1" t="s">
        <v>61</v>
      </c>
      <c r="K196" s="27" t="s">
        <v>54</v>
      </c>
      <c r="L196" s="1" t="str">
        <f aca="false">TEXT(A196,"mmm-yyyy")</f>
        <v>Jun-2026</v>
      </c>
      <c r="M196" s="28" t="n">
        <f aca="false">DATE(YEAR(A196),MONTH(A196),1)</f>
        <v>46174</v>
      </c>
    </row>
    <row r="197" customFormat="false" ht="14.25" hidden="false" customHeight="true" outlineLevel="0" collapsed="false">
      <c r="A197" s="25" t="n">
        <v>46189</v>
      </c>
      <c r="B197" s="1" t="s">
        <v>63</v>
      </c>
      <c r="C197" s="1" t="s">
        <v>56</v>
      </c>
      <c r="D197" s="1" t="s">
        <v>74</v>
      </c>
      <c r="E197" s="1" t="s">
        <v>57</v>
      </c>
      <c r="F197" s="1" t="s">
        <v>52</v>
      </c>
      <c r="G197" s="26" t="n">
        <v>0.427083333333333</v>
      </c>
      <c r="H197" s="26" t="n">
        <v>0.454861111111111</v>
      </c>
      <c r="I197" s="1" t="n">
        <v>40</v>
      </c>
      <c r="J197" s="1" t="s">
        <v>61</v>
      </c>
      <c r="K197" s="27" t="s">
        <v>54</v>
      </c>
      <c r="L197" s="1" t="str">
        <f aca="false">TEXT(A197,"mmm-yyyy")</f>
        <v>Jun-2026</v>
      </c>
      <c r="M197" s="28" t="n">
        <f aca="false">DATE(YEAR(A197),MONTH(A197),1)</f>
        <v>46174</v>
      </c>
    </row>
    <row r="198" customFormat="false" ht="14.25" hidden="false" customHeight="true" outlineLevel="0" collapsed="false">
      <c r="A198" s="25" t="n">
        <v>46190</v>
      </c>
      <c r="B198" s="1" t="s">
        <v>68</v>
      </c>
      <c r="C198" s="1" t="s">
        <v>56</v>
      </c>
      <c r="D198" s="1" t="s">
        <v>62</v>
      </c>
      <c r="E198" s="1" t="s">
        <v>57</v>
      </c>
      <c r="F198" s="1" t="s">
        <v>70</v>
      </c>
      <c r="G198" s="26" t="n">
        <v>0.375</v>
      </c>
      <c r="H198" s="26" t="n">
        <v>0.45</v>
      </c>
      <c r="I198" s="1" t="n">
        <v>108</v>
      </c>
      <c r="J198" s="1" t="s">
        <v>61</v>
      </c>
      <c r="K198" s="27" t="s">
        <v>54</v>
      </c>
      <c r="L198" s="1" t="str">
        <f aca="false">TEXT(A198,"mmm-yyyy")</f>
        <v>Jun-2026</v>
      </c>
      <c r="M198" s="28" t="n">
        <f aca="false">DATE(YEAR(A198),MONTH(A198),1)</f>
        <v>46174</v>
      </c>
    </row>
    <row r="199" customFormat="false" ht="14.25" hidden="false" customHeight="true" outlineLevel="0" collapsed="false">
      <c r="A199" s="25" t="n">
        <v>46191</v>
      </c>
      <c r="B199" s="1" t="s">
        <v>2</v>
      </c>
      <c r="C199" s="1" t="s">
        <v>56</v>
      </c>
      <c r="D199" s="1" t="s">
        <v>50</v>
      </c>
      <c r="E199" s="1" t="s">
        <v>57</v>
      </c>
      <c r="F199" s="1" t="s">
        <v>58</v>
      </c>
      <c r="G199" s="26" t="n">
        <v>0.375</v>
      </c>
      <c r="H199" s="26" t="n">
        <v>0.418055555555556</v>
      </c>
      <c r="I199" s="1" t="n">
        <v>62</v>
      </c>
      <c r="J199" s="1" t="s">
        <v>59</v>
      </c>
      <c r="K199" s="27" t="s">
        <v>54</v>
      </c>
      <c r="L199" s="1" t="str">
        <f aca="false">TEXT(A199,"mmm-yyyy")</f>
        <v>Jun-2026</v>
      </c>
      <c r="M199" s="28" t="n">
        <f aca="false">DATE(YEAR(A199),MONTH(A199),1)</f>
        <v>46174</v>
      </c>
    </row>
    <row r="200" customFormat="false" ht="14.25" hidden="false" customHeight="true" outlineLevel="0" collapsed="false">
      <c r="A200" s="25" t="n">
        <v>46192</v>
      </c>
      <c r="B200" s="1" t="s">
        <v>55</v>
      </c>
      <c r="C200" s="1" t="s">
        <v>66</v>
      </c>
      <c r="D200" s="1" t="s">
        <v>50</v>
      </c>
      <c r="E200" s="1" t="s">
        <v>67</v>
      </c>
      <c r="F200" s="1" t="s">
        <v>52</v>
      </c>
      <c r="G200" s="26" t="n">
        <v>0.552083333333333</v>
      </c>
      <c r="H200" s="26" t="n">
        <v>0.609027777777778</v>
      </c>
      <c r="I200" s="1" t="n">
        <v>82</v>
      </c>
      <c r="J200" s="1" t="s">
        <v>61</v>
      </c>
      <c r="K200" s="27" t="s">
        <v>54</v>
      </c>
      <c r="L200" s="1" t="str">
        <f aca="false">TEXT(A200,"mmm-yyyy")</f>
        <v>Jun-2026</v>
      </c>
      <c r="M200" s="28" t="n">
        <f aca="false">DATE(YEAR(A200),MONTH(A200),1)</f>
        <v>46174</v>
      </c>
    </row>
    <row r="201" customFormat="false" ht="14.25" hidden="false" customHeight="true" outlineLevel="0" collapsed="false">
      <c r="A201" s="25" t="n">
        <v>46193</v>
      </c>
      <c r="B201" s="1" t="s">
        <v>73</v>
      </c>
      <c r="C201" s="1" t="s">
        <v>64</v>
      </c>
      <c r="D201" s="1" t="s">
        <v>62</v>
      </c>
      <c r="E201" s="1" t="s">
        <v>65</v>
      </c>
      <c r="F201" s="1" t="s">
        <v>58</v>
      </c>
      <c r="G201" s="26" t="n">
        <v>0.645833333333333</v>
      </c>
      <c r="H201" s="26" t="n">
        <v>0.720833333333333</v>
      </c>
      <c r="I201" s="1" t="n">
        <v>108</v>
      </c>
      <c r="J201" s="1" t="s">
        <v>69</v>
      </c>
      <c r="K201" s="27" t="s">
        <v>54</v>
      </c>
      <c r="L201" s="1" t="str">
        <f aca="false">TEXT(A201,"mmm-yyyy")</f>
        <v>Jun-2026</v>
      </c>
      <c r="M201" s="28" t="n">
        <f aca="false">DATE(YEAR(A201),MONTH(A201),1)</f>
        <v>46174</v>
      </c>
    </row>
    <row r="202" customFormat="false" ht="14.25" hidden="false" customHeight="true" outlineLevel="0" collapsed="false">
      <c r="A202" s="25" t="n">
        <v>46194</v>
      </c>
      <c r="B202" s="1" t="s">
        <v>63</v>
      </c>
      <c r="C202" s="1" t="s">
        <v>66</v>
      </c>
      <c r="D202" s="1" t="s">
        <v>50</v>
      </c>
      <c r="E202" s="1" t="s">
        <v>67</v>
      </c>
      <c r="F202" s="1" t="s">
        <v>52</v>
      </c>
      <c r="G202" s="26" t="n">
        <v>0.416666666666667</v>
      </c>
      <c r="H202" s="26" t="n">
        <v>0.438888888888889</v>
      </c>
      <c r="I202" s="1" t="n">
        <v>32</v>
      </c>
      <c r="J202" s="1" t="s">
        <v>61</v>
      </c>
      <c r="K202" s="27" t="s">
        <v>54</v>
      </c>
      <c r="L202" s="1" t="str">
        <f aca="false">TEXT(A202,"mmm-yyyy")</f>
        <v>Jun-2026</v>
      </c>
      <c r="M202" s="28" t="n">
        <f aca="false">DATE(YEAR(A202),MONTH(A202),1)</f>
        <v>46174</v>
      </c>
    </row>
    <row r="203" customFormat="false" ht="14.25" hidden="false" customHeight="true" outlineLevel="0" collapsed="false">
      <c r="A203" s="25" t="n">
        <v>46195</v>
      </c>
      <c r="B203" s="1" t="s">
        <v>2</v>
      </c>
      <c r="C203" s="1" t="s">
        <v>71</v>
      </c>
      <c r="D203" s="1" t="s">
        <v>62</v>
      </c>
      <c r="E203" s="1" t="s">
        <v>72</v>
      </c>
      <c r="F203" s="1" t="s">
        <v>52</v>
      </c>
      <c r="G203" s="26" t="n">
        <v>0.5625</v>
      </c>
      <c r="H203" s="26" t="n">
        <v>0.601388888888889</v>
      </c>
      <c r="I203" s="1" t="n">
        <v>56</v>
      </c>
      <c r="J203" s="1" t="s">
        <v>61</v>
      </c>
      <c r="K203" s="27" t="s">
        <v>54</v>
      </c>
      <c r="L203" s="1" t="str">
        <f aca="false">TEXT(A203,"mmm-yyyy")</f>
        <v>Jun-2026</v>
      </c>
      <c r="M203" s="28" t="n">
        <f aca="false">DATE(YEAR(A203),MONTH(A203),1)</f>
        <v>46174</v>
      </c>
    </row>
    <row r="204" customFormat="false" ht="14.25" hidden="false" customHeight="true" outlineLevel="0" collapsed="false">
      <c r="A204" s="25" t="n">
        <v>46196</v>
      </c>
      <c r="B204" s="1" t="s">
        <v>68</v>
      </c>
      <c r="C204" s="1" t="s">
        <v>49</v>
      </c>
      <c r="D204" s="1" t="s">
        <v>74</v>
      </c>
      <c r="E204" s="1" t="s">
        <v>51</v>
      </c>
      <c r="F204" s="1" t="s">
        <v>52</v>
      </c>
      <c r="G204" s="26" t="n">
        <v>0.645833333333333</v>
      </c>
      <c r="H204" s="26" t="n">
        <v>0.6625</v>
      </c>
      <c r="I204" s="1" t="n">
        <v>24</v>
      </c>
      <c r="J204" s="1" t="s">
        <v>53</v>
      </c>
      <c r="K204" s="27" t="s">
        <v>54</v>
      </c>
      <c r="L204" s="1" t="str">
        <f aca="false">TEXT(A204,"mmm-yyyy")</f>
        <v>Jun-2026</v>
      </c>
      <c r="M204" s="28" t="n">
        <f aca="false">DATE(YEAR(A204),MONTH(A204),1)</f>
        <v>46174</v>
      </c>
    </row>
    <row r="205" customFormat="false" ht="14.25" hidden="false" customHeight="true" outlineLevel="0" collapsed="false">
      <c r="A205" s="25" t="n">
        <v>46197</v>
      </c>
      <c r="B205" s="1" t="s">
        <v>55</v>
      </c>
      <c r="C205" s="1" t="s">
        <v>71</v>
      </c>
      <c r="D205" s="1" t="s">
        <v>62</v>
      </c>
      <c r="E205" s="1" t="s">
        <v>72</v>
      </c>
      <c r="F205" s="1" t="s">
        <v>58</v>
      </c>
      <c r="G205" s="26" t="n">
        <v>0.572916666666667</v>
      </c>
      <c r="H205" s="26" t="n">
        <v>0.641666666666667</v>
      </c>
      <c r="I205" s="1" t="n">
        <v>99</v>
      </c>
      <c r="J205" s="1" t="s">
        <v>61</v>
      </c>
      <c r="K205" s="27" t="s">
        <v>54</v>
      </c>
      <c r="L205" s="1" t="str">
        <f aca="false">TEXT(A205,"mmm-yyyy")</f>
        <v>Jun-2026</v>
      </c>
      <c r="M205" s="28" t="n">
        <f aca="false">DATE(YEAR(A205),MONTH(A205),1)</f>
        <v>46174</v>
      </c>
    </row>
    <row r="206" customFormat="false" ht="14.25" hidden="false" customHeight="true" outlineLevel="0" collapsed="false">
      <c r="A206" s="25" t="n">
        <v>46198</v>
      </c>
      <c r="B206" s="1" t="s">
        <v>68</v>
      </c>
      <c r="C206" s="1" t="s">
        <v>66</v>
      </c>
      <c r="D206" s="1" t="s">
        <v>50</v>
      </c>
      <c r="E206" s="1" t="s">
        <v>67</v>
      </c>
      <c r="F206" s="1" t="s">
        <v>58</v>
      </c>
      <c r="G206" s="26" t="n">
        <v>0.645833333333333</v>
      </c>
      <c r="H206" s="26" t="n">
        <v>0.663194444444444</v>
      </c>
      <c r="I206" s="1" t="n">
        <v>25</v>
      </c>
      <c r="J206" s="1" t="s">
        <v>69</v>
      </c>
      <c r="K206" s="27" t="s">
        <v>54</v>
      </c>
      <c r="L206" s="1" t="str">
        <f aca="false">TEXT(A206,"mmm-yyyy")</f>
        <v>Jun-2026</v>
      </c>
      <c r="M206" s="28" t="n">
        <f aca="false">DATE(YEAR(A206),MONTH(A206),1)</f>
        <v>46174</v>
      </c>
    </row>
    <row r="207" customFormat="false" ht="14.25" hidden="false" customHeight="true" outlineLevel="0" collapsed="false">
      <c r="A207" s="25" t="n">
        <v>46199</v>
      </c>
      <c r="B207" s="1" t="s">
        <v>68</v>
      </c>
      <c r="C207" s="1" t="s">
        <v>49</v>
      </c>
      <c r="D207" s="1" t="s">
        <v>50</v>
      </c>
      <c r="E207" s="1" t="s">
        <v>51</v>
      </c>
      <c r="F207" s="1" t="s">
        <v>58</v>
      </c>
      <c r="G207" s="26" t="n">
        <v>0.375</v>
      </c>
      <c r="H207" s="26" t="n">
        <v>0.39375</v>
      </c>
      <c r="I207" s="1" t="n">
        <v>27</v>
      </c>
      <c r="J207" s="1" t="s">
        <v>59</v>
      </c>
      <c r="K207" s="27" t="s">
        <v>54</v>
      </c>
      <c r="L207" s="1" t="str">
        <f aca="false">TEXT(A207,"mmm-yyyy")</f>
        <v>Jun-2026</v>
      </c>
      <c r="M207" s="28" t="n">
        <f aca="false">DATE(YEAR(A207),MONTH(A207),1)</f>
        <v>46174</v>
      </c>
    </row>
    <row r="208" customFormat="false" ht="14.25" hidden="false" customHeight="true" outlineLevel="0" collapsed="false">
      <c r="A208" s="25" t="n">
        <v>46200</v>
      </c>
      <c r="B208" s="1" t="s">
        <v>55</v>
      </c>
      <c r="C208" s="1" t="s">
        <v>71</v>
      </c>
      <c r="D208" s="1" t="s">
        <v>74</v>
      </c>
      <c r="E208" s="1" t="s">
        <v>72</v>
      </c>
      <c r="F208" s="1" t="s">
        <v>58</v>
      </c>
      <c r="G208" s="26" t="n">
        <v>0.604166666666667</v>
      </c>
      <c r="H208" s="26" t="n">
        <v>0.619444444444445</v>
      </c>
      <c r="I208" s="1" t="n">
        <v>22</v>
      </c>
      <c r="J208" s="1" t="s">
        <v>59</v>
      </c>
      <c r="K208" s="27" t="s">
        <v>54</v>
      </c>
      <c r="L208" s="1" t="str">
        <f aca="false">TEXT(A208,"mmm-yyyy")</f>
        <v>Jun-2026</v>
      </c>
      <c r="M208" s="28" t="n">
        <f aca="false">DATE(YEAR(A208),MONTH(A208),1)</f>
        <v>46174</v>
      </c>
    </row>
    <row r="209" customFormat="false" ht="14.25" hidden="false" customHeight="true" outlineLevel="0" collapsed="false">
      <c r="A209" s="25" t="n">
        <v>46201</v>
      </c>
      <c r="B209" s="1" t="s">
        <v>68</v>
      </c>
      <c r="C209" s="1" t="s">
        <v>64</v>
      </c>
      <c r="D209" s="1" t="s">
        <v>50</v>
      </c>
      <c r="E209" s="1" t="s">
        <v>65</v>
      </c>
      <c r="F209" s="1" t="s">
        <v>52</v>
      </c>
      <c r="G209" s="26" t="n">
        <v>0.677083333333333</v>
      </c>
      <c r="H209" s="26" t="n">
        <v>0.727777777777778</v>
      </c>
      <c r="I209" s="1" t="n">
        <v>73</v>
      </c>
      <c r="J209" s="1" t="s">
        <v>53</v>
      </c>
      <c r="K209" s="27" t="s">
        <v>54</v>
      </c>
      <c r="L209" s="1" t="str">
        <f aca="false">TEXT(A209,"mmm-yyyy")</f>
        <v>Jun-2026</v>
      </c>
      <c r="M209" s="28" t="n">
        <f aca="false">DATE(YEAR(A209),MONTH(A209),1)</f>
        <v>46174</v>
      </c>
    </row>
    <row r="210" customFormat="false" ht="14.25" hidden="false" customHeight="true" outlineLevel="0" collapsed="false">
      <c r="A210" s="25" t="n">
        <v>46202</v>
      </c>
      <c r="B210" s="1" t="s">
        <v>68</v>
      </c>
      <c r="C210" s="1" t="s">
        <v>71</v>
      </c>
      <c r="D210" s="1" t="s">
        <v>50</v>
      </c>
      <c r="E210" s="1" t="s">
        <v>72</v>
      </c>
      <c r="F210" s="1" t="s">
        <v>70</v>
      </c>
      <c r="G210" s="26" t="n">
        <v>0.395833333333333</v>
      </c>
      <c r="H210" s="26" t="n">
        <v>0.409722222222222</v>
      </c>
      <c r="I210" s="1" t="n">
        <v>20</v>
      </c>
      <c r="J210" s="1" t="s">
        <v>69</v>
      </c>
      <c r="K210" s="27" t="s">
        <v>54</v>
      </c>
      <c r="L210" s="1" t="str">
        <f aca="false">TEXT(A210,"mmm-yyyy")</f>
        <v>Jun-2026</v>
      </c>
      <c r="M210" s="28" t="n">
        <f aca="false">DATE(YEAR(A210),MONTH(A210),1)</f>
        <v>46174</v>
      </c>
    </row>
    <row r="211" customFormat="false" ht="14.25" hidden="false" customHeight="true" outlineLevel="0" collapsed="false">
      <c r="A211" s="25" t="n">
        <v>46203</v>
      </c>
      <c r="B211" s="1" t="s">
        <v>73</v>
      </c>
      <c r="C211" s="1" t="s">
        <v>56</v>
      </c>
      <c r="D211" s="1" t="s">
        <v>74</v>
      </c>
      <c r="E211" s="1" t="s">
        <v>57</v>
      </c>
      <c r="F211" s="1" t="s">
        <v>52</v>
      </c>
      <c r="G211" s="26" t="n">
        <v>0.46875</v>
      </c>
      <c r="H211" s="26" t="n">
        <v>0.523611111111111</v>
      </c>
      <c r="I211" s="1" t="n">
        <v>79</v>
      </c>
      <c r="J211" s="1" t="s">
        <v>61</v>
      </c>
      <c r="K211" s="27" t="s">
        <v>54</v>
      </c>
      <c r="L211" s="1" t="str">
        <f aca="false">TEXT(A211,"mmm-yyyy")</f>
        <v>Jun-2026</v>
      </c>
      <c r="M211" s="28" t="n">
        <f aca="false">DATE(YEAR(A211),MONTH(A211),1)</f>
        <v>46174</v>
      </c>
    </row>
    <row r="212" customFormat="false" ht="14.25" hidden="false" customHeight="true" outlineLevel="0" collapsed="false">
      <c r="A212" s="25" t="n">
        <v>46174</v>
      </c>
      <c r="B212" s="1" t="s">
        <v>68</v>
      </c>
      <c r="C212" s="1" t="s">
        <v>71</v>
      </c>
      <c r="D212" s="1" t="s">
        <v>74</v>
      </c>
      <c r="E212" s="1" t="s">
        <v>72</v>
      </c>
      <c r="F212" s="1" t="s">
        <v>58</v>
      </c>
      <c r="G212" s="26" t="n">
        <v>0.385416666666667</v>
      </c>
      <c r="H212" s="26" t="n">
        <v>0.453472222222222</v>
      </c>
      <c r="I212" s="1" t="n">
        <v>98</v>
      </c>
      <c r="J212" s="1" t="s">
        <v>53</v>
      </c>
      <c r="K212" s="27" t="s">
        <v>54</v>
      </c>
      <c r="L212" s="1" t="str">
        <f aca="false">TEXT(A212,"mmm-yyyy")</f>
        <v>Jun-2026</v>
      </c>
      <c r="M212" s="28" t="n">
        <f aca="false">DATE(YEAR(A212),MONTH(A212),1)</f>
        <v>46174</v>
      </c>
    </row>
    <row r="213" customFormat="false" ht="14.25" hidden="false" customHeight="true" outlineLevel="0" collapsed="false">
      <c r="A213" s="25" t="n">
        <v>46175</v>
      </c>
      <c r="B213" s="1" t="s">
        <v>2</v>
      </c>
      <c r="C213" s="1" t="s">
        <v>49</v>
      </c>
      <c r="D213" s="1" t="s">
        <v>74</v>
      </c>
      <c r="E213" s="1" t="s">
        <v>51</v>
      </c>
      <c r="F213" s="1" t="s">
        <v>70</v>
      </c>
      <c r="G213" s="26" t="n">
        <v>0.625</v>
      </c>
      <c r="H213" s="26" t="n">
        <v>0.665972222222222</v>
      </c>
      <c r="I213" s="1" t="n">
        <v>59</v>
      </c>
      <c r="J213" s="1" t="s">
        <v>69</v>
      </c>
      <c r="K213" s="27" t="s">
        <v>54</v>
      </c>
      <c r="L213" s="1" t="str">
        <f aca="false">TEXT(A213,"mmm-yyyy")</f>
        <v>Jun-2026</v>
      </c>
      <c r="M213" s="28" t="n">
        <f aca="false">DATE(YEAR(A213),MONTH(A213),1)</f>
        <v>46174</v>
      </c>
    </row>
    <row r="214" customFormat="false" ht="14.25" hidden="false" customHeight="true" outlineLevel="0" collapsed="false">
      <c r="A214" s="25" t="n">
        <v>46176</v>
      </c>
      <c r="B214" s="1" t="s">
        <v>73</v>
      </c>
      <c r="C214" s="1" t="s">
        <v>71</v>
      </c>
      <c r="D214" s="1" t="s">
        <v>60</v>
      </c>
      <c r="E214" s="1" t="s">
        <v>72</v>
      </c>
      <c r="F214" s="1" t="s">
        <v>70</v>
      </c>
      <c r="G214" s="26" t="n">
        <v>0.510416666666667</v>
      </c>
      <c r="H214" s="26" t="n">
        <v>0.54375</v>
      </c>
      <c r="I214" s="1" t="n">
        <v>48</v>
      </c>
      <c r="J214" s="1" t="s">
        <v>53</v>
      </c>
      <c r="K214" s="27" t="s">
        <v>54</v>
      </c>
      <c r="L214" s="1" t="str">
        <f aca="false">TEXT(A214,"mmm-yyyy")</f>
        <v>Jun-2026</v>
      </c>
      <c r="M214" s="28" t="n">
        <f aca="false">DATE(YEAR(A214),MONTH(A214),1)</f>
        <v>46174</v>
      </c>
    </row>
    <row r="215" customFormat="false" ht="14.25" hidden="false" customHeight="true" outlineLevel="0" collapsed="false">
      <c r="A215" s="25" t="n">
        <v>46177</v>
      </c>
      <c r="B215" s="1" t="s">
        <v>68</v>
      </c>
      <c r="C215" s="1" t="s">
        <v>49</v>
      </c>
      <c r="D215" s="1" t="s">
        <v>50</v>
      </c>
      <c r="E215" s="1" t="s">
        <v>51</v>
      </c>
      <c r="F215" s="1" t="s">
        <v>70</v>
      </c>
      <c r="G215" s="26" t="n">
        <v>0.59375</v>
      </c>
      <c r="H215" s="26" t="n">
        <v>0.649305555555556</v>
      </c>
      <c r="I215" s="1" t="n">
        <v>80</v>
      </c>
      <c r="J215" s="1" t="s">
        <v>69</v>
      </c>
      <c r="K215" s="27" t="s">
        <v>54</v>
      </c>
      <c r="L215" s="1" t="str">
        <f aca="false">TEXT(A215,"mmm-yyyy")</f>
        <v>Jun-2026</v>
      </c>
      <c r="M215" s="28" t="n">
        <f aca="false">DATE(YEAR(A215),MONTH(A215),1)</f>
        <v>46174</v>
      </c>
    </row>
    <row r="216" customFormat="false" ht="14.25" hidden="false" customHeight="true" outlineLevel="0" collapsed="false">
      <c r="A216" s="25" t="n">
        <v>46178</v>
      </c>
      <c r="B216" s="1" t="s">
        <v>55</v>
      </c>
      <c r="C216" s="1" t="s">
        <v>64</v>
      </c>
      <c r="D216" s="1" t="s">
        <v>74</v>
      </c>
      <c r="E216" s="1" t="s">
        <v>65</v>
      </c>
      <c r="F216" s="1" t="s">
        <v>70</v>
      </c>
      <c r="G216" s="26" t="n">
        <v>0.59375</v>
      </c>
      <c r="H216" s="26" t="n">
        <v>0.649305555555556</v>
      </c>
      <c r="I216" s="1" t="n">
        <v>80</v>
      </c>
      <c r="J216" s="1" t="s">
        <v>53</v>
      </c>
      <c r="K216" s="27" t="s">
        <v>54</v>
      </c>
      <c r="L216" s="1" t="str">
        <f aca="false">TEXT(A216,"mmm-yyyy")</f>
        <v>Jun-2026</v>
      </c>
      <c r="M216" s="28" t="n">
        <f aca="false">DATE(YEAR(A216),MONTH(A216),1)</f>
        <v>46174</v>
      </c>
    </row>
    <row r="217" customFormat="false" ht="14.25" hidden="false" customHeight="true" outlineLevel="0" collapsed="false">
      <c r="A217" s="25" t="n">
        <v>46179</v>
      </c>
      <c r="B217" s="1" t="s">
        <v>2</v>
      </c>
      <c r="C217" s="1" t="s">
        <v>64</v>
      </c>
      <c r="D217" s="1" t="s">
        <v>50</v>
      </c>
      <c r="E217" s="1" t="s">
        <v>65</v>
      </c>
      <c r="F217" s="1" t="s">
        <v>70</v>
      </c>
      <c r="G217" s="26" t="n">
        <v>0.416666666666667</v>
      </c>
      <c r="H217" s="26" t="n">
        <v>0.495138888888889</v>
      </c>
      <c r="I217" s="1" t="n">
        <v>113</v>
      </c>
      <c r="J217" s="1" t="s">
        <v>53</v>
      </c>
      <c r="K217" s="27" t="s">
        <v>54</v>
      </c>
      <c r="L217" s="1" t="str">
        <f aca="false">TEXT(A217,"mmm-yyyy")</f>
        <v>Jun-2026</v>
      </c>
      <c r="M217" s="28" t="n">
        <f aca="false">DATE(YEAR(A217),MONTH(A217),1)</f>
        <v>46174</v>
      </c>
    </row>
    <row r="218" customFormat="false" ht="14.25" hidden="false" customHeight="true" outlineLevel="0" collapsed="false">
      <c r="A218" s="25" t="n">
        <v>46180</v>
      </c>
      <c r="B218" s="1" t="s">
        <v>2</v>
      </c>
      <c r="C218" s="1" t="s">
        <v>49</v>
      </c>
      <c r="D218" s="1" t="s">
        <v>62</v>
      </c>
      <c r="E218" s="1" t="s">
        <v>51</v>
      </c>
      <c r="F218" s="1" t="s">
        <v>70</v>
      </c>
      <c r="G218" s="26" t="n">
        <v>0.697916666666667</v>
      </c>
      <c r="H218" s="26" t="n">
        <v>0.755555555555556</v>
      </c>
      <c r="I218" s="1" t="n">
        <v>83</v>
      </c>
      <c r="J218" s="1" t="s">
        <v>69</v>
      </c>
      <c r="K218" s="27" t="s">
        <v>54</v>
      </c>
      <c r="L218" s="1" t="str">
        <f aca="false">TEXT(A218,"mmm-yyyy")</f>
        <v>Jun-2026</v>
      </c>
      <c r="M218" s="28" t="n">
        <f aca="false">DATE(YEAR(A218),MONTH(A218),1)</f>
        <v>46174</v>
      </c>
    </row>
    <row r="219" customFormat="false" ht="14.25" hidden="false" customHeight="true" outlineLevel="0" collapsed="false">
      <c r="A219" s="25" t="n">
        <v>46181</v>
      </c>
      <c r="B219" s="1" t="s">
        <v>68</v>
      </c>
      <c r="C219" s="1" t="s">
        <v>64</v>
      </c>
      <c r="D219" s="1" t="s">
        <v>50</v>
      </c>
      <c r="E219" s="1" t="s">
        <v>65</v>
      </c>
      <c r="F219" s="1" t="s">
        <v>70</v>
      </c>
      <c r="G219" s="26" t="n">
        <v>0.395833333333333</v>
      </c>
      <c r="H219" s="26" t="n">
        <v>0.461805555555556</v>
      </c>
      <c r="I219" s="1" t="n">
        <v>95</v>
      </c>
      <c r="J219" s="1" t="s">
        <v>59</v>
      </c>
      <c r="K219" s="27" t="s">
        <v>54</v>
      </c>
      <c r="L219" s="1" t="str">
        <f aca="false">TEXT(A219,"mmm-yyyy")</f>
        <v>Jun-2026</v>
      </c>
      <c r="M219" s="28" t="n">
        <f aca="false">DATE(YEAR(A219),MONTH(A219),1)</f>
        <v>46174</v>
      </c>
    </row>
    <row r="220" customFormat="false" ht="14.25" hidden="false" customHeight="true" outlineLevel="0" collapsed="false">
      <c r="A220" s="25" t="n">
        <v>46182</v>
      </c>
      <c r="B220" s="1" t="s">
        <v>68</v>
      </c>
      <c r="C220" s="1" t="s">
        <v>71</v>
      </c>
      <c r="D220" s="1" t="s">
        <v>74</v>
      </c>
      <c r="E220" s="1" t="s">
        <v>72</v>
      </c>
      <c r="F220" s="1" t="s">
        <v>70</v>
      </c>
      <c r="G220" s="26" t="n">
        <v>0.4375</v>
      </c>
      <c r="H220" s="26" t="n">
        <v>0.49375</v>
      </c>
      <c r="I220" s="1" t="n">
        <v>81</v>
      </c>
      <c r="J220" s="1" t="s">
        <v>61</v>
      </c>
      <c r="K220" s="27" t="s">
        <v>54</v>
      </c>
      <c r="L220" s="1" t="str">
        <f aca="false">TEXT(A220,"mmm-yyyy")</f>
        <v>Jun-2026</v>
      </c>
      <c r="M220" s="28" t="n">
        <f aca="false">DATE(YEAR(A220),MONTH(A220),1)</f>
        <v>46174</v>
      </c>
    </row>
    <row r="221" customFormat="false" ht="14.25" hidden="false" customHeight="true" outlineLevel="0" collapsed="false">
      <c r="A221" s="25" t="n">
        <v>46183</v>
      </c>
      <c r="B221" s="1" t="s">
        <v>73</v>
      </c>
      <c r="C221" s="1" t="s">
        <v>66</v>
      </c>
      <c r="D221" s="1" t="s">
        <v>62</v>
      </c>
      <c r="E221" s="1" t="s">
        <v>67</v>
      </c>
      <c r="F221" s="1" t="s">
        <v>70</v>
      </c>
      <c r="G221" s="26" t="n">
        <v>0.40625</v>
      </c>
      <c r="H221" s="26" t="n">
        <v>0.461111111111111</v>
      </c>
      <c r="I221" s="1" t="n">
        <v>79</v>
      </c>
      <c r="J221" s="1" t="s">
        <v>69</v>
      </c>
      <c r="K221" s="27" t="s">
        <v>54</v>
      </c>
      <c r="L221" s="1" t="str">
        <f aca="false">TEXT(A221,"mmm-yyyy")</f>
        <v>Jun-2026</v>
      </c>
      <c r="M221" s="28" t="n">
        <f aca="false">DATE(YEAR(A221),MONTH(A221),1)</f>
        <v>46174</v>
      </c>
    </row>
    <row r="222" customFormat="false" ht="14.25" hidden="false" customHeight="true" outlineLevel="0" collapsed="false">
      <c r="A222" s="25" t="n">
        <v>46184</v>
      </c>
      <c r="B222" s="1" t="s">
        <v>2</v>
      </c>
      <c r="C222" s="1" t="s">
        <v>64</v>
      </c>
      <c r="D222" s="1" t="s">
        <v>62</v>
      </c>
      <c r="E222" s="1" t="s">
        <v>65</v>
      </c>
      <c r="F222" s="1" t="s">
        <v>52</v>
      </c>
      <c r="G222" s="26" t="n">
        <v>0.614583333333333</v>
      </c>
      <c r="H222" s="26" t="n">
        <v>0.665277777777778</v>
      </c>
      <c r="I222" s="1" t="n">
        <v>73</v>
      </c>
      <c r="J222" s="1" t="s">
        <v>53</v>
      </c>
      <c r="K222" s="27" t="s">
        <v>54</v>
      </c>
      <c r="L222" s="1" t="str">
        <f aca="false">TEXT(A222,"mmm-yyyy")</f>
        <v>Jun-2026</v>
      </c>
      <c r="M222" s="28" t="n">
        <f aca="false">DATE(YEAR(A222),MONTH(A222),1)</f>
        <v>46174</v>
      </c>
    </row>
    <row r="223" customFormat="false" ht="14.25" hidden="false" customHeight="true" outlineLevel="0" collapsed="false">
      <c r="A223" s="25" t="n">
        <v>46185</v>
      </c>
      <c r="B223" s="1" t="s">
        <v>73</v>
      </c>
      <c r="C223" s="1" t="s">
        <v>56</v>
      </c>
      <c r="D223" s="1" t="s">
        <v>50</v>
      </c>
      <c r="E223" s="1" t="s">
        <v>57</v>
      </c>
      <c r="F223" s="1" t="s">
        <v>70</v>
      </c>
      <c r="G223" s="26" t="n">
        <v>0.541666666666667</v>
      </c>
      <c r="H223" s="26" t="n">
        <v>0.609722222222222</v>
      </c>
      <c r="I223" s="1" t="n">
        <v>98</v>
      </c>
      <c r="J223" s="1" t="s">
        <v>61</v>
      </c>
      <c r="K223" s="27" t="s">
        <v>54</v>
      </c>
      <c r="L223" s="1" t="str">
        <f aca="false">TEXT(A223,"mmm-yyyy")</f>
        <v>Jun-2026</v>
      </c>
      <c r="M223" s="28" t="n">
        <f aca="false">DATE(YEAR(A223),MONTH(A223),1)</f>
        <v>46174</v>
      </c>
    </row>
    <row r="224" customFormat="false" ht="14.25" hidden="false" customHeight="true" outlineLevel="0" collapsed="false">
      <c r="A224" s="25" t="n">
        <v>46186</v>
      </c>
      <c r="B224" s="1" t="s">
        <v>2</v>
      </c>
      <c r="C224" s="1" t="s">
        <v>66</v>
      </c>
      <c r="D224" s="1" t="s">
        <v>60</v>
      </c>
      <c r="E224" s="1" t="s">
        <v>67</v>
      </c>
      <c r="F224" s="1" t="s">
        <v>52</v>
      </c>
      <c r="G224" s="26" t="n">
        <v>0.489583333333333</v>
      </c>
      <c r="H224" s="26" t="n">
        <v>0.51875</v>
      </c>
      <c r="I224" s="1" t="n">
        <v>42</v>
      </c>
      <c r="J224" s="1" t="s">
        <v>69</v>
      </c>
      <c r="K224" s="27" t="s">
        <v>54</v>
      </c>
      <c r="L224" s="1" t="str">
        <f aca="false">TEXT(A224,"mmm-yyyy")</f>
        <v>Jun-2026</v>
      </c>
      <c r="M224" s="28" t="n">
        <f aca="false">DATE(YEAR(A224),MONTH(A224),1)</f>
        <v>46174</v>
      </c>
    </row>
    <row r="225" customFormat="false" ht="14.25" hidden="false" customHeight="true" outlineLevel="0" collapsed="false">
      <c r="A225" s="25" t="n">
        <v>46187</v>
      </c>
      <c r="B225" s="1" t="s">
        <v>68</v>
      </c>
      <c r="C225" s="1" t="s">
        <v>71</v>
      </c>
      <c r="D225" s="1" t="s">
        <v>62</v>
      </c>
      <c r="E225" s="1" t="s">
        <v>72</v>
      </c>
      <c r="F225" s="1" t="s">
        <v>70</v>
      </c>
      <c r="G225" s="26" t="n">
        <v>0.677083333333333</v>
      </c>
      <c r="H225" s="26" t="n">
        <v>0.759722222222222</v>
      </c>
      <c r="I225" s="1" t="n">
        <v>119</v>
      </c>
      <c r="J225" s="1" t="s">
        <v>53</v>
      </c>
      <c r="K225" s="27" t="s">
        <v>54</v>
      </c>
      <c r="L225" s="1" t="str">
        <f aca="false">TEXT(A225,"mmm-yyyy")</f>
        <v>Jun-2026</v>
      </c>
      <c r="M225" s="28" t="n">
        <f aca="false">DATE(YEAR(A225),MONTH(A225),1)</f>
        <v>46174</v>
      </c>
    </row>
    <row r="226" customFormat="false" ht="14.25" hidden="false" customHeight="true" outlineLevel="0" collapsed="false">
      <c r="A226" s="25" t="n">
        <v>46188</v>
      </c>
      <c r="B226" s="1" t="s">
        <v>68</v>
      </c>
      <c r="C226" s="1" t="s">
        <v>71</v>
      </c>
      <c r="D226" s="1" t="s">
        <v>62</v>
      </c>
      <c r="E226" s="1" t="s">
        <v>72</v>
      </c>
      <c r="F226" s="1" t="s">
        <v>70</v>
      </c>
      <c r="G226" s="26" t="n">
        <v>0.395833333333333</v>
      </c>
      <c r="H226" s="26" t="n">
        <v>0.454861111111111</v>
      </c>
      <c r="I226" s="1" t="n">
        <v>85</v>
      </c>
      <c r="J226" s="1" t="s">
        <v>69</v>
      </c>
      <c r="K226" s="27" t="s">
        <v>54</v>
      </c>
      <c r="L226" s="1" t="str">
        <f aca="false">TEXT(A226,"mmm-yyyy")</f>
        <v>Jun-2026</v>
      </c>
      <c r="M226" s="28" t="n">
        <f aca="false">DATE(YEAR(A226),MONTH(A226),1)</f>
        <v>46174</v>
      </c>
    </row>
    <row r="227" customFormat="false" ht="14.25" hidden="false" customHeight="true" outlineLevel="0" collapsed="false">
      <c r="A227" s="25" t="n">
        <v>46189</v>
      </c>
      <c r="B227" s="1" t="s">
        <v>63</v>
      </c>
      <c r="C227" s="1" t="s">
        <v>66</v>
      </c>
      <c r="D227" s="1" t="s">
        <v>74</v>
      </c>
      <c r="E227" s="1" t="s">
        <v>67</v>
      </c>
      <c r="F227" s="1" t="s">
        <v>70</v>
      </c>
      <c r="G227" s="26" t="n">
        <v>0.59375</v>
      </c>
      <c r="H227" s="26" t="n">
        <v>0.607638888888889</v>
      </c>
      <c r="I227" s="1" t="n">
        <v>20</v>
      </c>
      <c r="J227" s="1" t="s">
        <v>53</v>
      </c>
      <c r="K227" s="27" t="s">
        <v>54</v>
      </c>
      <c r="L227" s="1" t="str">
        <f aca="false">TEXT(A227,"mmm-yyyy")</f>
        <v>Jun-2026</v>
      </c>
      <c r="M227" s="28" t="n">
        <f aca="false">DATE(YEAR(A227),MONTH(A227),1)</f>
        <v>46174</v>
      </c>
    </row>
    <row r="228" customFormat="false" ht="14.25" hidden="false" customHeight="true" outlineLevel="0" collapsed="false">
      <c r="A228" s="25" t="n">
        <v>46190</v>
      </c>
      <c r="B228" s="1" t="s">
        <v>2</v>
      </c>
      <c r="C228" s="1" t="s">
        <v>56</v>
      </c>
      <c r="D228" s="1" t="s">
        <v>50</v>
      </c>
      <c r="E228" s="1" t="s">
        <v>57</v>
      </c>
      <c r="F228" s="1" t="s">
        <v>52</v>
      </c>
      <c r="G228" s="26" t="n">
        <v>0.510416666666667</v>
      </c>
      <c r="H228" s="26" t="n">
        <v>0.554166666666667</v>
      </c>
      <c r="I228" s="1" t="n">
        <v>63</v>
      </c>
      <c r="J228" s="1" t="s">
        <v>61</v>
      </c>
      <c r="K228" s="27" t="s">
        <v>54</v>
      </c>
      <c r="L228" s="1" t="str">
        <f aca="false">TEXT(A228,"mmm-yyyy")</f>
        <v>Jun-2026</v>
      </c>
      <c r="M228" s="28" t="n">
        <f aca="false">DATE(YEAR(A228),MONTH(A228),1)</f>
        <v>46174</v>
      </c>
    </row>
    <row r="229" customFormat="false" ht="14.25" hidden="false" customHeight="true" outlineLevel="0" collapsed="false">
      <c r="A229" s="25" t="n">
        <v>46191</v>
      </c>
      <c r="B229" s="1" t="s">
        <v>73</v>
      </c>
      <c r="C229" s="1" t="s">
        <v>56</v>
      </c>
      <c r="D229" s="1" t="s">
        <v>62</v>
      </c>
      <c r="E229" s="1" t="s">
        <v>57</v>
      </c>
      <c r="F229" s="1" t="s">
        <v>70</v>
      </c>
      <c r="G229" s="26" t="n">
        <v>0.583333333333333</v>
      </c>
      <c r="H229" s="26" t="n">
        <v>0.601388888888889</v>
      </c>
      <c r="I229" s="1" t="n">
        <v>26</v>
      </c>
      <c r="J229" s="1" t="s">
        <v>61</v>
      </c>
      <c r="K229" s="27" t="s">
        <v>54</v>
      </c>
      <c r="L229" s="1" t="str">
        <f aca="false">TEXT(A229,"mmm-yyyy")</f>
        <v>Jun-2026</v>
      </c>
      <c r="M229" s="28" t="n">
        <f aca="false">DATE(YEAR(A229),MONTH(A229),1)</f>
        <v>46174</v>
      </c>
    </row>
    <row r="230" customFormat="false" ht="14.25" hidden="false" customHeight="true" outlineLevel="0" collapsed="false">
      <c r="A230" s="25" t="n">
        <v>46192</v>
      </c>
      <c r="B230" s="1" t="s">
        <v>55</v>
      </c>
      <c r="C230" s="1" t="s">
        <v>56</v>
      </c>
      <c r="D230" s="1" t="s">
        <v>60</v>
      </c>
      <c r="E230" s="1" t="s">
        <v>57</v>
      </c>
      <c r="F230" s="1" t="s">
        <v>70</v>
      </c>
      <c r="G230" s="26" t="n">
        <v>0.666666666666667</v>
      </c>
      <c r="H230" s="26" t="n">
        <v>0.702777777777778</v>
      </c>
      <c r="I230" s="1" t="n">
        <v>52</v>
      </c>
      <c r="J230" s="1" t="s">
        <v>61</v>
      </c>
      <c r="K230" s="27" t="s">
        <v>54</v>
      </c>
      <c r="L230" s="1" t="str">
        <f aca="false">TEXT(A230,"mmm-yyyy")</f>
        <v>Jun-2026</v>
      </c>
      <c r="M230" s="28" t="n">
        <f aca="false">DATE(YEAR(A230),MONTH(A230),1)</f>
        <v>46174</v>
      </c>
    </row>
    <row r="231" customFormat="false" ht="14.25" hidden="false" customHeight="true" outlineLevel="0" collapsed="false">
      <c r="A231" s="25" t="n">
        <v>46193</v>
      </c>
      <c r="B231" s="1" t="s">
        <v>2</v>
      </c>
      <c r="C231" s="1" t="s">
        <v>64</v>
      </c>
      <c r="D231" s="1" t="s">
        <v>62</v>
      </c>
      <c r="E231" s="1" t="s">
        <v>65</v>
      </c>
      <c r="F231" s="1" t="s">
        <v>70</v>
      </c>
      <c r="G231" s="26" t="n">
        <v>0.677083333333333</v>
      </c>
      <c r="H231" s="26" t="n">
        <v>0.756944444444444</v>
      </c>
      <c r="I231" s="1" t="n">
        <v>115</v>
      </c>
      <c r="J231" s="1" t="s">
        <v>53</v>
      </c>
      <c r="K231" s="27" t="s">
        <v>54</v>
      </c>
      <c r="L231" s="1" t="str">
        <f aca="false">TEXT(A231,"mmm-yyyy")</f>
        <v>Jun-2026</v>
      </c>
      <c r="M231" s="28" t="n">
        <f aca="false">DATE(YEAR(A231),MONTH(A231),1)</f>
        <v>46174</v>
      </c>
    </row>
    <row r="232" customFormat="false" ht="14.25" hidden="false" customHeight="true" outlineLevel="0" collapsed="false">
      <c r="A232" s="25" t="n">
        <v>46194</v>
      </c>
      <c r="B232" s="1" t="s">
        <v>55</v>
      </c>
      <c r="C232" s="1" t="s">
        <v>49</v>
      </c>
      <c r="D232" s="1" t="s">
        <v>50</v>
      </c>
      <c r="E232" s="1" t="s">
        <v>51</v>
      </c>
      <c r="F232" s="1" t="s">
        <v>58</v>
      </c>
      <c r="G232" s="26" t="n">
        <v>0.541666666666667</v>
      </c>
      <c r="H232" s="26" t="n">
        <v>0.56875</v>
      </c>
      <c r="I232" s="1" t="n">
        <v>39</v>
      </c>
      <c r="J232" s="1" t="s">
        <v>53</v>
      </c>
      <c r="K232" s="27" t="s">
        <v>54</v>
      </c>
      <c r="L232" s="1" t="str">
        <f aca="false">TEXT(A232,"mmm-yyyy")</f>
        <v>Jun-2026</v>
      </c>
      <c r="M232" s="28" t="n">
        <f aca="false">DATE(YEAR(A232),MONTH(A232),1)</f>
        <v>46174</v>
      </c>
    </row>
    <row r="233" customFormat="false" ht="14.25" hidden="false" customHeight="true" outlineLevel="0" collapsed="false">
      <c r="A233" s="25" t="n">
        <v>46195</v>
      </c>
      <c r="B233" s="1" t="s">
        <v>68</v>
      </c>
      <c r="C233" s="1" t="s">
        <v>56</v>
      </c>
      <c r="D233" s="1" t="s">
        <v>50</v>
      </c>
      <c r="E233" s="1" t="s">
        <v>57</v>
      </c>
      <c r="F233" s="1" t="s">
        <v>70</v>
      </c>
      <c r="G233" s="26" t="n">
        <v>0.458333333333333</v>
      </c>
      <c r="H233" s="26" t="n">
        <v>0.529861111111111</v>
      </c>
      <c r="I233" s="1" t="n">
        <v>103</v>
      </c>
      <c r="J233" s="1" t="s">
        <v>59</v>
      </c>
      <c r="K233" s="27" t="s">
        <v>54</v>
      </c>
      <c r="L233" s="1" t="str">
        <f aca="false">TEXT(A233,"mmm-yyyy")</f>
        <v>Jun-2026</v>
      </c>
      <c r="M233" s="28" t="n">
        <f aca="false">DATE(YEAR(A233),MONTH(A233),1)</f>
        <v>46174</v>
      </c>
    </row>
    <row r="234" customFormat="false" ht="14.25" hidden="false" customHeight="true" outlineLevel="0" collapsed="false">
      <c r="A234" s="25" t="n">
        <v>46196</v>
      </c>
      <c r="B234" s="1" t="s">
        <v>63</v>
      </c>
      <c r="C234" s="1" t="s">
        <v>71</v>
      </c>
      <c r="D234" s="1" t="s">
        <v>62</v>
      </c>
      <c r="E234" s="1" t="s">
        <v>72</v>
      </c>
      <c r="F234" s="1" t="s">
        <v>52</v>
      </c>
      <c r="G234" s="26" t="n">
        <v>0.5</v>
      </c>
      <c r="H234" s="26" t="n">
        <v>0.532638888888889</v>
      </c>
      <c r="I234" s="1" t="n">
        <v>47</v>
      </c>
      <c r="J234" s="1" t="s">
        <v>61</v>
      </c>
      <c r="K234" s="27" t="s">
        <v>54</v>
      </c>
      <c r="L234" s="1" t="str">
        <f aca="false">TEXT(A234,"mmm-yyyy")</f>
        <v>Jun-2026</v>
      </c>
      <c r="M234" s="28" t="n">
        <f aca="false">DATE(YEAR(A234),MONTH(A234),1)</f>
        <v>46174</v>
      </c>
    </row>
    <row r="235" customFormat="false" ht="14.25" hidden="false" customHeight="true" outlineLevel="0" collapsed="false">
      <c r="A235" s="25" t="n">
        <v>46197</v>
      </c>
      <c r="B235" s="1" t="s">
        <v>55</v>
      </c>
      <c r="C235" s="1" t="s">
        <v>49</v>
      </c>
      <c r="D235" s="1" t="s">
        <v>50</v>
      </c>
      <c r="E235" s="1" t="s">
        <v>51</v>
      </c>
      <c r="F235" s="1" t="s">
        <v>58</v>
      </c>
      <c r="G235" s="26" t="n">
        <v>0.552083333333333</v>
      </c>
      <c r="H235" s="26" t="n">
        <v>0.631944444444444</v>
      </c>
      <c r="I235" s="1" t="n">
        <v>115</v>
      </c>
      <c r="J235" s="1" t="s">
        <v>59</v>
      </c>
      <c r="K235" s="27" t="s">
        <v>54</v>
      </c>
      <c r="L235" s="1" t="str">
        <f aca="false">TEXT(A235,"mmm-yyyy")</f>
        <v>Jun-2026</v>
      </c>
      <c r="M235" s="28" t="n">
        <f aca="false">DATE(YEAR(A235),MONTH(A235),1)</f>
        <v>46174</v>
      </c>
    </row>
    <row r="236" customFormat="false" ht="14.25" hidden="false" customHeight="true" outlineLevel="0" collapsed="false">
      <c r="A236" s="25" t="n">
        <v>46198</v>
      </c>
      <c r="B236" s="1" t="s">
        <v>73</v>
      </c>
      <c r="C236" s="1" t="s">
        <v>49</v>
      </c>
      <c r="D236" s="1" t="s">
        <v>74</v>
      </c>
      <c r="E236" s="1" t="s">
        <v>51</v>
      </c>
      <c r="F236" s="1" t="s">
        <v>52</v>
      </c>
      <c r="G236" s="26" t="n">
        <v>0.427083333333333</v>
      </c>
      <c r="H236" s="26" t="n">
        <v>0.495138888888889</v>
      </c>
      <c r="I236" s="1" t="n">
        <v>98</v>
      </c>
      <c r="J236" s="1" t="s">
        <v>61</v>
      </c>
      <c r="K236" s="27" t="s">
        <v>54</v>
      </c>
      <c r="L236" s="1" t="str">
        <f aca="false">TEXT(A236,"mmm-yyyy")</f>
        <v>Jun-2026</v>
      </c>
      <c r="M236" s="28" t="n">
        <f aca="false">DATE(YEAR(A236),MONTH(A236),1)</f>
        <v>46174</v>
      </c>
    </row>
    <row r="237" customFormat="false" ht="14.25" hidden="false" customHeight="true" outlineLevel="0" collapsed="false">
      <c r="A237" s="25" t="n">
        <v>46199</v>
      </c>
      <c r="B237" s="1" t="s">
        <v>55</v>
      </c>
      <c r="C237" s="1" t="s">
        <v>66</v>
      </c>
      <c r="D237" s="1" t="s">
        <v>60</v>
      </c>
      <c r="E237" s="1" t="s">
        <v>67</v>
      </c>
      <c r="F237" s="1" t="s">
        <v>52</v>
      </c>
      <c r="G237" s="26" t="n">
        <v>0.375</v>
      </c>
      <c r="H237" s="26" t="n">
        <v>0.394444444444444</v>
      </c>
      <c r="I237" s="1" t="n">
        <v>28</v>
      </c>
      <c r="J237" s="1" t="s">
        <v>53</v>
      </c>
      <c r="K237" s="27" t="s">
        <v>54</v>
      </c>
      <c r="L237" s="1" t="str">
        <f aca="false">TEXT(A237,"mmm-yyyy")</f>
        <v>Jun-2026</v>
      </c>
      <c r="M237" s="28" t="n">
        <f aca="false">DATE(YEAR(A237),MONTH(A237),1)</f>
        <v>46174</v>
      </c>
    </row>
    <row r="238" customFormat="false" ht="14.25" hidden="false" customHeight="true" outlineLevel="0" collapsed="false">
      <c r="A238" s="25" t="n">
        <v>46200</v>
      </c>
      <c r="B238" s="1" t="s">
        <v>68</v>
      </c>
      <c r="C238" s="1" t="s">
        <v>66</v>
      </c>
      <c r="D238" s="1" t="s">
        <v>62</v>
      </c>
      <c r="E238" s="1" t="s">
        <v>67</v>
      </c>
      <c r="F238" s="1" t="s">
        <v>52</v>
      </c>
      <c r="G238" s="26" t="n">
        <v>0.625</v>
      </c>
      <c r="H238" s="26" t="n">
        <v>0.701388888888889</v>
      </c>
      <c r="I238" s="1" t="n">
        <v>110</v>
      </c>
      <c r="J238" s="1" t="s">
        <v>53</v>
      </c>
      <c r="K238" s="27" t="s">
        <v>54</v>
      </c>
      <c r="L238" s="1" t="str">
        <f aca="false">TEXT(A238,"mmm-yyyy")</f>
        <v>Jun-2026</v>
      </c>
      <c r="M238" s="28" t="n">
        <f aca="false">DATE(YEAR(A238),MONTH(A238),1)</f>
        <v>46174</v>
      </c>
    </row>
    <row r="239" customFormat="false" ht="14.25" hidden="false" customHeight="true" outlineLevel="0" collapsed="false">
      <c r="A239" s="25" t="n">
        <v>46201</v>
      </c>
      <c r="B239" s="1" t="s">
        <v>68</v>
      </c>
      <c r="C239" s="1" t="s">
        <v>49</v>
      </c>
      <c r="D239" s="1" t="s">
        <v>62</v>
      </c>
      <c r="E239" s="1" t="s">
        <v>51</v>
      </c>
      <c r="F239" s="1" t="s">
        <v>58</v>
      </c>
      <c r="G239" s="26" t="n">
        <v>0.614583333333333</v>
      </c>
      <c r="H239" s="26" t="n">
        <v>0.647222222222222</v>
      </c>
      <c r="I239" s="1" t="n">
        <v>47</v>
      </c>
      <c r="J239" s="1" t="s">
        <v>61</v>
      </c>
      <c r="K239" s="27" t="s">
        <v>54</v>
      </c>
      <c r="L239" s="1" t="str">
        <f aca="false">TEXT(A239,"mmm-yyyy")</f>
        <v>Jun-2026</v>
      </c>
      <c r="M239" s="28" t="n">
        <f aca="false">DATE(YEAR(A239),MONTH(A239),1)</f>
        <v>46174</v>
      </c>
    </row>
    <row r="240" customFormat="false" ht="14.25" hidden="false" customHeight="true" outlineLevel="0" collapsed="false">
      <c r="A240" s="25" t="n">
        <v>46202</v>
      </c>
      <c r="B240" s="1" t="s">
        <v>55</v>
      </c>
      <c r="C240" s="1" t="s">
        <v>56</v>
      </c>
      <c r="D240" s="1" t="s">
        <v>50</v>
      </c>
      <c r="E240" s="1" t="s">
        <v>57</v>
      </c>
      <c r="F240" s="1" t="s">
        <v>70</v>
      </c>
      <c r="G240" s="26" t="n">
        <v>0.5</v>
      </c>
      <c r="H240" s="26" t="n">
        <v>0.566666666666667</v>
      </c>
      <c r="I240" s="1" t="n">
        <v>96</v>
      </c>
      <c r="J240" s="1" t="s">
        <v>61</v>
      </c>
      <c r="K240" s="27" t="s">
        <v>54</v>
      </c>
      <c r="L240" s="1" t="str">
        <f aca="false">TEXT(A240,"mmm-yyyy")</f>
        <v>Jun-2026</v>
      </c>
      <c r="M240" s="28" t="n">
        <f aca="false">DATE(YEAR(A240),MONTH(A240),1)</f>
        <v>46174</v>
      </c>
    </row>
    <row r="241" customFormat="false" ht="14.25" hidden="false" customHeight="true" outlineLevel="0" collapsed="false">
      <c r="A241" s="25" t="n">
        <v>46203</v>
      </c>
      <c r="B241" s="1" t="s">
        <v>55</v>
      </c>
      <c r="C241" s="1" t="s">
        <v>71</v>
      </c>
      <c r="D241" s="1" t="s">
        <v>74</v>
      </c>
      <c r="E241" s="1" t="s">
        <v>72</v>
      </c>
      <c r="F241" s="1" t="s">
        <v>58</v>
      </c>
      <c r="G241" s="26" t="n">
        <v>0.395833333333333</v>
      </c>
      <c r="H241" s="26" t="n">
        <v>0.456944444444444</v>
      </c>
      <c r="I241" s="1" t="n">
        <v>88</v>
      </c>
      <c r="J241" s="1" t="s">
        <v>69</v>
      </c>
      <c r="K241" s="27" t="s">
        <v>54</v>
      </c>
      <c r="L241" s="1" t="str">
        <f aca="false">TEXT(A241,"mmm-yyyy")</f>
        <v>Jun-2026</v>
      </c>
      <c r="M241" s="28" t="n">
        <f aca="false">DATE(YEAR(A241),MONTH(A241),1)</f>
        <v>46174</v>
      </c>
    </row>
    <row r="242" customFormat="false" ht="14.25" hidden="false" customHeight="true" outlineLevel="0" collapsed="false">
      <c r="A242" s="25" t="n">
        <v>46174</v>
      </c>
      <c r="B242" s="1" t="s">
        <v>2</v>
      </c>
      <c r="C242" s="1" t="s">
        <v>71</v>
      </c>
      <c r="D242" s="1" t="s">
        <v>74</v>
      </c>
      <c r="E242" s="1" t="s">
        <v>72</v>
      </c>
      <c r="F242" s="1" t="s">
        <v>52</v>
      </c>
      <c r="G242" s="26" t="n">
        <v>0.385416666666667</v>
      </c>
      <c r="H242" s="26" t="n">
        <v>0.410416666666667</v>
      </c>
      <c r="I242" s="1" t="n">
        <v>36</v>
      </c>
      <c r="J242" s="1" t="s">
        <v>59</v>
      </c>
      <c r="K242" s="27" t="s">
        <v>54</v>
      </c>
      <c r="L242" s="1" t="str">
        <f aca="false">TEXT(A242,"mmm-yyyy")</f>
        <v>Jun-2026</v>
      </c>
      <c r="M242" s="28" t="n">
        <f aca="false">DATE(YEAR(A242),MONTH(A242),1)</f>
        <v>46174</v>
      </c>
    </row>
    <row r="243" customFormat="false" ht="14.25" hidden="false" customHeight="true" outlineLevel="0" collapsed="false">
      <c r="A243" s="25" t="n">
        <v>46175</v>
      </c>
      <c r="B243" s="1" t="s">
        <v>63</v>
      </c>
      <c r="C243" s="1" t="s">
        <v>56</v>
      </c>
      <c r="D243" s="1" t="s">
        <v>74</v>
      </c>
      <c r="E243" s="1" t="s">
        <v>57</v>
      </c>
      <c r="F243" s="1" t="s">
        <v>58</v>
      </c>
      <c r="G243" s="26" t="n">
        <v>0.541666666666667</v>
      </c>
      <c r="H243" s="26" t="n">
        <v>0.567361111111111</v>
      </c>
      <c r="I243" s="1" t="n">
        <v>37</v>
      </c>
      <c r="J243" s="1" t="s">
        <v>61</v>
      </c>
      <c r="K243" s="27" t="s">
        <v>54</v>
      </c>
      <c r="L243" s="1" t="str">
        <f aca="false">TEXT(A243,"mmm-yyyy")</f>
        <v>Jun-2026</v>
      </c>
      <c r="M243" s="28" t="n">
        <f aca="false">DATE(YEAR(A243),MONTH(A243),1)</f>
        <v>46174</v>
      </c>
    </row>
    <row r="244" customFormat="false" ht="14.25" hidden="false" customHeight="true" outlineLevel="0" collapsed="false">
      <c r="A244" s="25" t="n">
        <v>46176</v>
      </c>
      <c r="B244" s="1" t="s">
        <v>2</v>
      </c>
      <c r="C244" s="1" t="s">
        <v>66</v>
      </c>
      <c r="D244" s="1" t="s">
        <v>60</v>
      </c>
      <c r="E244" s="1" t="s">
        <v>67</v>
      </c>
      <c r="F244" s="1" t="s">
        <v>58</v>
      </c>
      <c r="G244" s="26" t="n">
        <v>0.677083333333333</v>
      </c>
      <c r="H244" s="26" t="n">
        <v>0.7125</v>
      </c>
      <c r="I244" s="1" t="n">
        <v>51</v>
      </c>
      <c r="J244" s="1" t="s">
        <v>59</v>
      </c>
      <c r="K244" s="27" t="s">
        <v>54</v>
      </c>
      <c r="L244" s="1" t="str">
        <f aca="false">TEXT(A244,"mmm-yyyy")</f>
        <v>Jun-2026</v>
      </c>
      <c r="M244" s="28" t="n">
        <f aca="false">DATE(YEAR(A244),MONTH(A244),1)</f>
        <v>46174</v>
      </c>
    </row>
    <row r="245" customFormat="false" ht="14.25" hidden="false" customHeight="true" outlineLevel="0" collapsed="false">
      <c r="A245" s="25" t="n">
        <v>46177</v>
      </c>
      <c r="B245" s="1" t="s">
        <v>2</v>
      </c>
      <c r="C245" s="1" t="s">
        <v>64</v>
      </c>
      <c r="D245" s="1" t="s">
        <v>74</v>
      </c>
      <c r="E245" s="1" t="s">
        <v>65</v>
      </c>
      <c r="F245" s="1" t="s">
        <v>70</v>
      </c>
      <c r="G245" s="26" t="n">
        <v>0.427083333333333</v>
      </c>
      <c r="H245" s="26" t="n">
        <v>0.509027777777778</v>
      </c>
      <c r="I245" s="1" t="n">
        <v>118</v>
      </c>
      <c r="J245" s="1" t="s">
        <v>53</v>
      </c>
      <c r="K245" s="27" t="s">
        <v>54</v>
      </c>
      <c r="L245" s="1" t="str">
        <f aca="false">TEXT(A245,"mmm-yyyy")</f>
        <v>Jun-2026</v>
      </c>
      <c r="M245" s="28" t="n">
        <f aca="false">DATE(YEAR(A245),MONTH(A245),1)</f>
        <v>46174</v>
      </c>
    </row>
    <row r="246" customFormat="false" ht="14.25" hidden="false" customHeight="true" outlineLevel="0" collapsed="false">
      <c r="A246" s="25" t="n">
        <v>46178</v>
      </c>
      <c r="B246" s="1" t="s">
        <v>55</v>
      </c>
      <c r="C246" s="1" t="s">
        <v>56</v>
      </c>
      <c r="D246" s="1" t="s">
        <v>74</v>
      </c>
      <c r="E246" s="1" t="s">
        <v>57</v>
      </c>
      <c r="F246" s="1" t="s">
        <v>52</v>
      </c>
      <c r="G246" s="26" t="n">
        <v>0.395833333333333</v>
      </c>
      <c r="H246" s="26" t="n">
        <v>0.470833333333333</v>
      </c>
      <c r="I246" s="1" t="n">
        <v>108</v>
      </c>
      <c r="J246" s="1" t="s">
        <v>53</v>
      </c>
      <c r="K246" s="27" t="s">
        <v>54</v>
      </c>
      <c r="L246" s="1" t="str">
        <f aca="false">TEXT(A246,"mmm-yyyy")</f>
        <v>Jun-2026</v>
      </c>
      <c r="M246" s="28" t="n">
        <f aca="false">DATE(YEAR(A246),MONTH(A246),1)</f>
        <v>46174</v>
      </c>
    </row>
    <row r="247" customFormat="false" ht="14.25" hidden="false" customHeight="true" outlineLevel="0" collapsed="false">
      <c r="A247" s="25" t="n">
        <v>46179</v>
      </c>
      <c r="B247" s="1" t="s">
        <v>73</v>
      </c>
      <c r="C247" s="1" t="s">
        <v>49</v>
      </c>
      <c r="D247" s="1" t="s">
        <v>50</v>
      </c>
      <c r="E247" s="1" t="s">
        <v>51</v>
      </c>
      <c r="F247" s="1" t="s">
        <v>52</v>
      </c>
      <c r="G247" s="26" t="n">
        <v>0.385416666666667</v>
      </c>
      <c r="H247" s="26" t="n">
        <v>0.468055555555556</v>
      </c>
      <c r="I247" s="1" t="n">
        <v>119</v>
      </c>
      <c r="J247" s="1" t="s">
        <v>53</v>
      </c>
      <c r="K247" s="27" t="s">
        <v>54</v>
      </c>
      <c r="L247" s="1" t="str">
        <f aca="false">TEXT(A247,"mmm-yyyy")</f>
        <v>Jun-2026</v>
      </c>
      <c r="M247" s="28" t="n">
        <f aca="false">DATE(YEAR(A247),MONTH(A247),1)</f>
        <v>46174</v>
      </c>
    </row>
    <row r="248" customFormat="false" ht="14.25" hidden="false" customHeight="true" outlineLevel="0" collapsed="false">
      <c r="A248" s="25" t="n">
        <v>46180</v>
      </c>
      <c r="B248" s="1" t="s">
        <v>2</v>
      </c>
      <c r="C248" s="1" t="s">
        <v>66</v>
      </c>
      <c r="D248" s="1" t="s">
        <v>74</v>
      </c>
      <c r="E248" s="1" t="s">
        <v>67</v>
      </c>
      <c r="F248" s="1" t="s">
        <v>52</v>
      </c>
      <c r="G248" s="26" t="n">
        <v>0.5</v>
      </c>
      <c r="H248" s="26" t="n">
        <v>0.5625</v>
      </c>
      <c r="I248" s="1" t="n">
        <v>90</v>
      </c>
      <c r="J248" s="1" t="s">
        <v>53</v>
      </c>
      <c r="K248" s="27" t="s">
        <v>54</v>
      </c>
      <c r="L248" s="1" t="str">
        <f aca="false">TEXT(A248,"mmm-yyyy")</f>
        <v>Jun-2026</v>
      </c>
      <c r="M248" s="28" t="n">
        <f aca="false">DATE(YEAR(A248),MONTH(A248),1)</f>
        <v>46174</v>
      </c>
    </row>
    <row r="249" customFormat="false" ht="14.25" hidden="false" customHeight="true" outlineLevel="0" collapsed="false">
      <c r="A249" s="25" t="n">
        <v>46181</v>
      </c>
      <c r="B249" s="1" t="s">
        <v>2</v>
      </c>
      <c r="C249" s="1" t="s">
        <v>64</v>
      </c>
      <c r="D249" s="1" t="s">
        <v>50</v>
      </c>
      <c r="E249" s="1" t="s">
        <v>65</v>
      </c>
      <c r="F249" s="1" t="s">
        <v>52</v>
      </c>
      <c r="G249" s="26" t="n">
        <v>0.375</v>
      </c>
      <c r="H249" s="26" t="n">
        <v>0.426388888888889</v>
      </c>
      <c r="I249" s="1" t="n">
        <v>74</v>
      </c>
      <c r="J249" s="1" t="s">
        <v>59</v>
      </c>
      <c r="K249" s="27" t="s">
        <v>54</v>
      </c>
      <c r="L249" s="1" t="str">
        <f aca="false">TEXT(A249,"mmm-yyyy")</f>
        <v>Jun-2026</v>
      </c>
      <c r="M249" s="28" t="n">
        <f aca="false">DATE(YEAR(A249),MONTH(A249),1)</f>
        <v>46174</v>
      </c>
    </row>
    <row r="250" customFormat="false" ht="14.25" hidden="false" customHeight="true" outlineLevel="0" collapsed="false">
      <c r="A250" s="25" t="n">
        <v>46182</v>
      </c>
      <c r="B250" s="1" t="s">
        <v>63</v>
      </c>
      <c r="C250" s="1" t="s">
        <v>56</v>
      </c>
      <c r="D250" s="1" t="s">
        <v>50</v>
      </c>
      <c r="E250" s="1" t="s">
        <v>57</v>
      </c>
      <c r="F250" s="1" t="s">
        <v>70</v>
      </c>
      <c r="G250" s="26" t="n">
        <v>0.510416666666667</v>
      </c>
      <c r="H250" s="26" t="n">
        <v>0.585416666666667</v>
      </c>
      <c r="I250" s="1" t="n">
        <v>108</v>
      </c>
      <c r="J250" s="1" t="s">
        <v>61</v>
      </c>
      <c r="K250" s="27" t="s">
        <v>54</v>
      </c>
      <c r="L250" s="1" t="str">
        <f aca="false">TEXT(A250,"mmm-yyyy")</f>
        <v>Jun-2026</v>
      </c>
      <c r="M250" s="28" t="n">
        <f aca="false">DATE(YEAR(A250),MONTH(A250),1)</f>
        <v>46174</v>
      </c>
    </row>
    <row r="251" customFormat="false" ht="14.25" hidden="false" customHeight="true" outlineLevel="0" collapsed="false">
      <c r="A251" s="25" t="n">
        <v>46183</v>
      </c>
      <c r="B251" s="1" t="s">
        <v>2</v>
      </c>
      <c r="C251" s="1" t="s">
        <v>56</v>
      </c>
      <c r="D251" s="1" t="s">
        <v>74</v>
      </c>
      <c r="E251" s="1" t="s">
        <v>57</v>
      </c>
      <c r="F251" s="1" t="s">
        <v>58</v>
      </c>
      <c r="G251" s="26" t="n">
        <v>0.375</v>
      </c>
      <c r="H251" s="26" t="n">
        <v>0.438194444444444</v>
      </c>
      <c r="I251" s="1" t="n">
        <v>91</v>
      </c>
      <c r="J251" s="1" t="s">
        <v>69</v>
      </c>
      <c r="K251" s="27" t="s">
        <v>54</v>
      </c>
      <c r="L251" s="1" t="str">
        <f aca="false">TEXT(A251,"mmm-yyyy")</f>
        <v>Jun-2026</v>
      </c>
      <c r="M251" s="28" t="n">
        <f aca="false">DATE(YEAR(A251),MONTH(A251),1)</f>
        <v>46174</v>
      </c>
    </row>
    <row r="252" customFormat="false" ht="14.25" hidden="false" customHeight="true" outlineLevel="0" collapsed="false">
      <c r="A252" s="25" t="n">
        <v>46184</v>
      </c>
      <c r="B252" s="1" t="s">
        <v>68</v>
      </c>
      <c r="C252" s="1" t="s">
        <v>49</v>
      </c>
      <c r="D252" s="1" t="s">
        <v>60</v>
      </c>
      <c r="E252" s="1" t="s">
        <v>51</v>
      </c>
      <c r="F252" s="1" t="s">
        <v>52</v>
      </c>
      <c r="G252" s="26" t="n">
        <v>0.697916666666667</v>
      </c>
      <c r="H252" s="26" t="n">
        <v>0.777777777777778</v>
      </c>
      <c r="I252" s="1" t="n">
        <v>115</v>
      </c>
      <c r="J252" s="1" t="s">
        <v>69</v>
      </c>
      <c r="K252" s="27" t="s">
        <v>54</v>
      </c>
      <c r="L252" s="1" t="str">
        <f aca="false">TEXT(A252,"mmm-yyyy")</f>
        <v>Jun-2026</v>
      </c>
      <c r="M252" s="28" t="n">
        <f aca="false">DATE(YEAR(A252),MONTH(A252),1)</f>
        <v>46174</v>
      </c>
    </row>
    <row r="253" customFormat="false" ht="14.25" hidden="false" customHeight="true" outlineLevel="0" collapsed="false">
      <c r="A253" s="25" t="n">
        <v>46185</v>
      </c>
      <c r="B253" s="1" t="s">
        <v>73</v>
      </c>
      <c r="C253" s="1" t="s">
        <v>56</v>
      </c>
      <c r="D253" s="1" t="s">
        <v>60</v>
      </c>
      <c r="E253" s="1" t="s">
        <v>57</v>
      </c>
      <c r="F253" s="1" t="s">
        <v>58</v>
      </c>
      <c r="G253" s="26" t="n">
        <v>0.552083333333333</v>
      </c>
      <c r="H253" s="26" t="n">
        <v>0.577777777777778</v>
      </c>
      <c r="I253" s="1" t="n">
        <v>37</v>
      </c>
      <c r="J253" s="1" t="s">
        <v>69</v>
      </c>
      <c r="K253" s="27" t="s">
        <v>54</v>
      </c>
      <c r="L253" s="1" t="str">
        <f aca="false">TEXT(A253,"mmm-yyyy")</f>
        <v>Jun-2026</v>
      </c>
      <c r="M253" s="28" t="n">
        <f aca="false">DATE(YEAR(A253),MONTH(A253),1)</f>
        <v>46174</v>
      </c>
    </row>
    <row r="254" customFormat="false" ht="14.25" hidden="false" customHeight="true" outlineLevel="0" collapsed="false">
      <c r="A254" s="25" t="n">
        <v>46186</v>
      </c>
      <c r="B254" s="1" t="s">
        <v>68</v>
      </c>
      <c r="C254" s="1" t="s">
        <v>49</v>
      </c>
      <c r="D254" s="1" t="s">
        <v>50</v>
      </c>
      <c r="E254" s="1" t="s">
        <v>51</v>
      </c>
      <c r="F254" s="1" t="s">
        <v>70</v>
      </c>
      <c r="G254" s="26" t="n">
        <v>0.385416666666667</v>
      </c>
      <c r="H254" s="26" t="n">
        <v>0.414583333333333</v>
      </c>
      <c r="I254" s="1" t="n">
        <v>42</v>
      </c>
      <c r="J254" s="1" t="s">
        <v>53</v>
      </c>
      <c r="K254" s="27" t="s">
        <v>54</v>
      </c>
      <c r="L254" s="1" t="str">
        <f aca="false">TEXT(A254,"mmm-yyyy")</f>
        <v>Jun-2026</v>
      </c>
      <c r="M254" s="28" t="n">
        <f aca="false">DATE(YEAR(A254),MONTH(A254),1)</f>
        <v>46174</v>
      </c>
    </row>
    <row r="255" customFormat="false" ht="14.25" hidden="false" customHeight="true" outlineLevel="0" collapsed="false">
      <c r="A255" s="25" t="n">
        <v>46187</v>
      </c>
      <c r="B255" s="1" t="s">
        <v>55</v>
      </c>
      <c r="C255" s="1" t="s">
        <v>71</v>
      </c>
      <c r="D255" s="1" t="s">
        <v>74</v>
      </c>
      <c r="E255" s="1" t="s">
        <v>72</v>
      </c>
      <c r="F255" s="1" t="s">
        <v>58</v>
      </c>
      <c r="G255" s="26" t="n">
        <v>0.520833333333333</v>
      </c>
      <c r="H255" s="26" t="n">
        <v>0.593055555555556</v>
      </c>
      <c r="I255" s="1" t="n">
        <v>104</v>
      </c>
      <c r="J255" s="1" t="s">
        <v>69</v>
      </c>
      <c r="K255" s="27" t="s">
        <v>54</v>
      </c>
      <c r="L255" s="1" t="str">
        <f aca="false">TEXT(A255,"mmm-yyyy")</f>
        <v>Jun-2026</v>
      </c>
      <c r="M255" s="28" t="n">
        <f aca="false">DATE(YEAR(A255),MONTH(A255),1)</f>
        <v>46174</v>
      </c>
    </row>
    <row r="256" customFormat="false" ht="14.25" hidden="false" customHeight="true" outlineLevel="0" collapsed="false">
      <c r="A256" s="25" t="n">
        <v>46188</v>
      </c>
      <c r="B256" s="1" t="s">
        <v>2</v>
      </c>
      <c r="C256" s="1" t="s">
        <v>71</v>
      </c>
      <c r="D256" s="1" t="s">
        <v>74</v>
      </c>
      <c r="E256" s="1" t="s">
        <v>72</v>
      </c>
      <c r="F256" s="1" t="s">
        <v>70</v>
      </c>
      <c r="G256" s="26" t="n">
        <v>0.5625</v>
      </c>
      <c r="H256" s="26" t="n">
        <v>0.585416666666667</v>
      </c>
      <c r="I256" s="1" t="n">
        <v>33</v>
      </c>
      <c r="J256" s="1" t="s">
        <v>53</v>
      </c>
      <c r="K256" s="27" t="s">
        <v>54</v>
      </c>
      <c r="L256" s="1" t="str">
        <f aca="false">TEXT(A256,"mmm-yyyy")</f>
        <v>Jun-2026</v>
      </c>
      <c r="M256" s="28" t="n">
        <f aca="false">DATE(YEAR(A256),MONTH(A256),1)</f>
        <v>46174</v>
      </c>
    </row>
    <row r="257" customFormat="false" ht="14.25" hidden="false" customHeight="true" outlineLevel="0" collapsed="false">
      <c r="A257" s="25" t="n">
        <v>46189</v>
      </c>
      <c r="B257" s="1" t="s">
        <v>2</v>
      </c>
      <c r="C257" s="1" t="s">
        <v>49</v>
      </c>
      <c r="D257" s="1" t="s">
        <v>60</v>
      </c>
      <c r="E257" s="1" t="s">
        <v>51</v>
      </c>
      <c r="F257" s="1" t="s">
        <v>52</v>
      </c>
      <c r="G257" s="26" t="n">
        <v>0.458333333333333</v>
      </c>
      <c r="H257" s="26" t="n">
        <v>0.500694444444444</v>
      </c>
      <c r="I257" s="1" t="n">
        <v>61</v>
      </c>
      <c r="J257" s="1" t="s">
        <v>61</v>
      </c>
      <c r="K257" s="27" t="s">
        <v>54</v>
      </c>
      <c r="L257" s="1" t="str">
        <f aca="false">TEXT(A257,"mmm-yyyy")</f>
        <v>Jun-2026</v>
      </c>
      <c r="M257" s="28" t="n">
        <f aca="false">DATE(YEAR(A257),MONTH(A257),1)</f>
        <v>46174</v>
      </c>
    </row>
    <row r="258" customFormat="false" ht="14.25" hidden="false" customHeight="true" outlineLevel="0" collapsed="false">
      <c r="A258" s="25" t="n">
        <v>46190</v>
      </c>
      <c r="B258" s="1" t="s">
        <v>2</v>
      </c>
      <c r="C258" s="1" t="s">
        <v>64</v>
      </c>
      <c r="D258" s="1" t="s">
        <v>62</v>
      </c>
      <c r="E258" s="1" t="s">
        <v>65</v>
      </c>
      <c r="F258" s="1" t="s">
        <v>58</v>
      </c>
      <c r="G258" s="26" t="n">
        <v>0.666666666666667</v>
      </c>
      <c r="H258" s="26" t="n">
        <v>0.732638888888889</v>
      </c>
      <c r="I258" s="1" t="n">
        <v>95</v>
      </c>
      <c r="J258" s="1" t="s">
        <v>53</v>
      </c>
      <c r="K258" s="27" t="s">
        <v>54</v>
      </c>
      <c r="L258" s="1" t="str">
        <f aca="false">TEXT(A258,"mmm-yyyy")</f>
        <v>Jun-2026</v>
      </c>
      <c r="M258" s="28" t="n">
        <f aca="false">DATE(YEAR(A258),MONTH(A258),1)</f>
        <v>46174</v>
      </c>
    </row>
    <row r="259" customFormat="false" ht="14.25" hidden="false" customHeight="true" outlineLevel="0" collapsed="false">
      <c r="A259" s="25" t="n">
        <v>46191</v>
      </c>
      <c r="B259" s="1" t="s">
        <v>2</v>
      </c>
      <c r="C259" s="1" t="s">
        <v>66</v>
      </c>
      <c r="D259" s="1" t="s">
        <v>50</v>
      </c>
      <c r="E259" s="1" t="s">
        <v>67</v>
      </c>
      <c r="F259" s="1" t="s">
        <v>58</v>
      </c>
      <c r="G259" s="26" t="n">
        <v>0.666666666666667</v>
      </c>
      <c r="H259" s="26" t="n">
        <v>0.707638888888889</v>
      </c>
      <c r="I259" s="1" t="n">
        <v>59</v>
      </c>
      <c r="J259" s="1" t="s">
        <v>69</v>
      </c>
      <c r="K259" s="27" t="s">
        <v>54</v>
      </c>
      <c r="L259" s="1" t="str">
        <f aca="false">TEXT(A259,"mmm-yyyy")</f>
        <v>Jun-2026</v>
      </c>
      <c r="M259" s="28" t="n">
        <f aca="false">DATE(YEAR(A259),MONTH(A259),1)</f>
        <v>46174</v>
      </c>
    </row>
    <row r="260" customFormat="false" ht="14.25" hidden="false" customHeight="true" outlineLevel="0" collapsed="false">
      <c r="A260" s="25" t="n">
        <v>46192</v>
      </c>
      <c r="B260" s="1" t="s">
        <v>55</v>
      </c>
      <c r="C260" s="1" t="s">
        <v>56</v>
      </c>
      <c r="D260" s="1" t="s">
        <v>60</v>
      </c>
      <c r="E260" s="1" t="s">
        <v>57</v>
      </c>
      <c r="F260" s="1" t="s">
        <v>52</v>
      </c>
      <c r="G260" s="26" t="n">
        <v>0.479166666666667</v>
      </c>
      <c r="H260" s="26" t="n">
        <v>0.515277777777778</v>
      </c>
      <c r="I260" s="1" t="n">
        <v>52</v>
      </c>
      <c r="J260" s="1" t="s">
        <v>59</v>
      </c>
      <c r="K260" s="27" t="s">
        <v>54</v>
      </c>
      <c r="L260" s="1" t="str">
        <f aca="false">TEXT(A260,"mmm-yyyy")</f>
        <v>Jun-2026</v>
      </c>
      <c r="M260" s="28" t="n">
        <f aca="false">DATE(YEAR(A260),MONTH(A260),1)</f>
        <v>46174</v>
      </c>
    </row>
    <row r="261" customFormat="false" ht="14.25" hidden="false" customHeight="true" outlineLevel="0" collapsed="false">
      <c r="A261" s="25" t="n">
        <v>46193</v>
      </c>
      <c r="B261" s="1" t="s">
        <v>63</v>
      </c>
      <c r="C261" s="1" t="s">
        <v>64</v>
      </c>
      <c r="D261" s="1" t="s">
        <v>62</v>
      </c>
      <c r="E261" s="1" t="s">
        <v>65</v>
      </c>
      <c r="F261" s="1" t="s">
        <v>70</v>
      </c>
      <c r="G261" s="26" t="n">
        <v>0.635416666666667</v>
      </c>
      <c r="H261" s="26" t="n">
        <v>0.68125</v>
      </c>
      <c r="I261" s="1" t="n">
        <v>66</v>
      </c>
      <c r="J261" s="1" t="s">
        <v>53</v>
      </c>
      <c r="K261" s="27" t="s">
        <v>54</v>
      </c>
      <c r="L261" s="1" t="str">
        <f aca="false">TEXT(A261,"mmm-yyyy")</f>
        <v>Jun-2026</v>
      </c>
      <c r="M261" s="28" t="n">
        <f aca="false">DATE(YEAR(A261),MONTH(A261),1)</f>
        <v>46174</v>
      </c>
    </row>
    <row r="262" customFormat="false" ht="14.25" hidden="false" customHeight="true" outlineLevel="0" collapsed="false">
      <c r="A262" s="25" t="n">
        <v>46194</v>
      </c>
      <c r="B262" s="1" t="s">
        <v>73</v>
      </c>
      <c r="C262" s="1" t="s">
        <v>56</v>
      </c>
      <c r="D262" s="1" t="s">
        <v>50</v>
      </c>
      <c r="E262" s="1" t="s">
        <v>57</v>
      </c>
      <c r="F262" s="1" t="s">
        <v>52</v>
      </c>
      <c r="G262" s="26" t="n">
        <v>0.458333333333333</v>
      </c>
      <c r="H262" s="26" t="n">
        <v>0.538194444444444</v>
      </c>
      <c r="I262" s="1" t="n">
        <v>115</v>
      </c>
      <c r="J262" s="1" t="s">
        <v>53</v>
      </c>
      <c r="K262" s="27" t="s">
        <v>54</v>
      </c>
      <c r="L262" s="1" t="str">
        <f aca="false">TEXT(A262,"mmm-yyyy")</f>
        <v>Jun-2026</v>
      </c>
      <c r="M262" s="28" t="n">
        <f aca="false">DATE(YEAR(A262),MONTH(A262),1)</f>
        <v>46174</v>
      </c>
    </row>
    <row r="263" customFormat="false" ht="14.25" hidden="false" customHeight="true" outlineLevel="0" collapsed="false">
      <c r="A263" s="25" t="n">
        <v>46195</v>
      </c>
      <c r="B263" s="1" t="s">
        <v>63</v>
      </c>
      <c r="C263" s="1" t="s">
        <v>56</v>
      </c>
      <c r="D263" s="1" t="s">
        <v>60</v>
      </c>
      <c r="E263" s="1" t="s">
        <v>57</v>
      </c>
      <c r="F263" s="1" t="s">
        <v>52</v>
      </c>
      <c r="G263" s="26" t="n">
        <v>0.552083333333333</v>
      </c>
      <c r="H263" s="26" t="n">
        <v>0.595138888888889</v>
      </c>
      <c r="I263" s="1" t="n">
        <v>62</v>
      </c>
      <c r="J263" s="1" t="s">
        <v>59</v>
      </c>
      <c r="K263" s="27" t="s">
        <v>54</v>
      </c>
      <c r="L263" s="1" t="str">
        <f aca="false">TEXT(A263,"mmm-yyyy")</f>
        <v>Jun-2026</v>
      </c>
      <c r="M263" s="28" t="n">
        <f aca="false">DATE(YEAR(A263),MONTH(A263),1)</f>
        <v>46174</v>
      </c>
    </row>
    <row r="264" customFormat="false" ht="14.25" hidden="false" customHeight="true" outlineLevel="0" collapsed="false">
      <c r="A264" s="25" t="n">
        <v>46196</v>
      </c>
      <c r="B264" s="1" t="s">
        <v>63</v>
      </c>
      <c r="C264" s="1" t="s">
        <v>64</v>
      </c>
      <c r="D264" s="1" t="s">
        <v>50</v>
      </c>
      <c r="E264" s="1" t="s">
        <v>65</v>
      </c>
      <c r="F264" s="1" t="s">
        <v>52</v>
      </c>
      <c r="G264" s="26" t="n">
        <v>0.5</v>
      </c>
      <c r="H264" s="26" t="n">
        <v>0.538194444444444</v>
      </c>
      <c r="I264" s="1" t="n">
        <v>55</v>
      </c>
      <c r="J264" s="1" t="s">
        <v>59</v>
      </c>
      <c r="K264" s="27" t="s">
        <v>54</v>
      </c>
      <c r="L264" s="1" t="str">
        <f aca="false">TEXT(A264,"mmm-yyyy")</f>
        <v>Jun-2026</v>
      </c>
      <c r="M264" s="28" t="n">
        <f aca="false">DATE(YEAR(A264),MONTH(A264),1)</f>
        <v>46174</v>
      </c>
    </row>
    <row r="265" customFormat="false" ht="14.25" hidden="false" customHeight="true" outlineLevel="0" collapsed="false">
      <c r="A265" s="25" t="n">
        <v>46197</v>
      </c>
      <c r="B265" s="1" t="s">
        <v>55</v>
      </c>
      <c r="C265" s="1" t="s">
        <v>71</v>
      </c>
      <c r="D265" s="1" t="s">
        <v>50</v>
      </c>
      <c r="E265" s="1" t="s">
        <v>72</v>
      </c>
      <c r="F265" s="1" t="s">
        <v>58</v>
      </c>
      <c r="G265" s="26" t="n">
        <v>0.65625</v>
      </c>
      <c r="H265" s="26" t="n">
        <v>0.673611111111111</v>
      </c>
      <c r="I265" s="1" t="n">
        <v>25</v>
      </c>
      <c r="J265" s="1" t="s">
        <v>61</v>
      </c>
      <c r="K265" s="27" t="s">
        <v>54</v>
      </c>
      <c r="L265" s="1" t="str">
        <f aca="false">TEXT(A265,"mmm-yyyy")</f>
        <v>Jun-2026</v>
      </c>
      <c r="M265" s="28" t="n">
        <f aca="false">DATE(YEAR(A265),MONTH(A265),1)</f>
        <v>46174</v>
      </c>
    </row>
    <row r="266" customFormat="false" ht="14.25" hidden="false" customHeight="true" outlineLevel="0" collapsed="false">
      <c r="A266" s="25" t="n">
        <v>46198</v>
      </c>
      <c r="B266" s="1" t="s">
        <v>68</v>
      </c>
      <c r="C266" s="1" t="s">
        <v>64</v>
      </c>
      <c r="D266" s="1" t="s">
        <v>60</v>
      </c>
      <c r="E266" s="1" t="s">
        <v>65</v>
      </c>
      <c r="F266" s="1" t="s">
        <v>52</v>
      </c>
      <c r="G266" s="26" t="n">
        <v>0.552083333333333</v>
      </c>
      <c r="H266" s="26" t="n">
        <v>0.599305555555556</v>
      </c>
      <c r="I266" s="1" t="n">
        <v>68</v>
      </c>
      <c r="J266" s="1" t="s">
        <v>69</v>
      </c>
      <c r="K266" s="27" t="s">
        <v>54</v>
      </c>
      <c r="L266" s="1" t="str">
        <f aca="false">TEXT(A266,"mmm-yyyy")</f>
        <v>Jun-2026</v>
      </c>
      <c r="M266" s="28" t="n">
        <f aca="false">DATE(YEAR(A266),MONTH(A266),1)</f>
        <v>46174</v>
      </c>
    </row>
    <row r="267" customFormat="false" ht="14.25" hidden="false" customHeight="true" outlineLevel="0" collapsed="false">
      <c r="A267" s="25" t="n">
        <v>46199</v>
      </c>
      <c r="B267" s="1" t="s">
        <v>68</v>
      </c>
      <c r="C267" s="1" t="s">
        <v>71</v>
      </c>
      <c r="D267" s="1" t="s">
        <v>50</v>
      </c>
      <c r="E267" s="1" t="s">
        <v>72</v>
      </c>
      <c r="F267" s="1" t="s">
        <v>58</v>
      </c>
      <c r="G267" s="26" t="n">
        <v>0.416666666666667</v>
      </c>
      <c r="H267" s="26" t="n">
        <v>0.479166666666667</v>
      </c>
      <c r="I267" s="1" t="n">
        <v>90</v>
      </c>
      <c r="J267" s="1" t="s">
        <v>59</v>
      </c>
      <c r="K267" s="27" t="s">
        <v>54</v>
      </c>
      <c r="L267" s="1" t="str">
        <f aca="false">TEXT(A267,"mmm-yyyy")</f>
        <v>Jun-2026</v>
      </c>
      <c r="M267" s="28" t="n">
        <f aca="false">DATE(YEAR(A267),MONTH(A267),1)</f>
        <v>46174</v>
      </c>
    </row>
    <row r="268" customFormat="false" ht="14.25" hidden="false" customHeight="true" outlineLevel="0" collapsed="false">
      <c r="A268" s="25" t="n">
        <v>46200</v>
      </c>
      <c r="B268" s="1" t="s">
        <v>55</v>
      </c>
      <c r="C268" s="1" t="s">
        <v>56</v>
      </c>
      <c r="D268" s="1" t="s">
        <v>50</v>
      </c>
      <c r="E268" s="1" t="s">
        <v>57</v>
      </c>
      <c r="F268" s="1" t="s">
        <v>58</v>
      </c>
      <c r="G268" s="26" t="n">
        <v>0.385416666666667</v>
      </c>
      <c r="H268" s="26" t="n">
        <v>0.429166666666667</v>
      </c>
      <c r="I268" s="1" t="n">
        <v>63</v>
      </c>
      <c r="J268" s="1" t="s">
        <v>59</v>
      </c>
      <c r="K268" s="27" t="s">
        <v>54</v>
      </c>
      <c r="L268" s="1" t="str">
        <f aca="false">TEXT(A268,"mmm-yyyy")</f>
        <v>Jun-2026</v>
      </c>
      <c r="M268" s="28" t="n">
        <f aca="false">DATE(YEAR(A268),MONTH(A268),1)</f>
        <v>46174</v>
      </c>
    </row>
    <row r="269" customFormat="false" ht="14.25" hidden="false" customHeight="true" outlineLevel="0" collapsed="false">
      <c r="A269" s="25" t="n">
        <v>46201</v>
      </c>
      <c r="B269" s="1" t="s">
        <v>55</v>
      </c>
      <c r="C269" s="1" t="s">
        <v>64</v>
      </c>
      <c r="D269" s="1" t="s">
        <v>74</v>
      </c>
      <c r="E269" s="1" t="s">
        <v>65</v>
      </c>
      <c r="F269" s="1" t="s">
        <v>70</v>
      </c>
      <c r="G269" s="26" t="n">
        <v>0.552083333333333</v>
      </c>
      <c r="H269" s="26" t="n">
        <v>0.625694444444444</v>
      </c>
      <c r="I269" s="1" t="n">
        <v>106</v>
      </c>
      <c r="J269" s="1" t="s">
        <v>69</v>
      </c>
      <c r="K269" s="27" t="s">
        <v>54</v>
      </c>
      <c r="L269" s="1" t="str">
        <f aca="false">TEXT(A269,"mmm-yyyy")</f>
        <v>Jun-2026</v>
      </c>
      <c r="M269" s="28" t="n">
        <f aca="false">DATE(YEAR(A269),MONTH(A269),1)</f>
        <v>46174</v>
      </c>
    </row>
    <row r="270" customFormat="false" ht="14.25" hidden="false" customHeight="true" outlineLevel="0" collapsed="false">
      <c r="A270" s="25" t="n">
        <v>46202</v>
      </c>
      <c r="B270" s="1" t="s">
        <v>68</v>
      </c>
      <c r="C270" s="1" t="s">
        <v>64</v>
      </c>
      <c r="D270" s="1" t="s">
        <v>62</v>
      </c>
      <c r="E270" s="1" t="s">
        <v>65</v>
      </c>
      <c r="F270" s="1" t="s">
        <v>58</v>
      </c>
      <c r="G270" s="26" t="n">
        <v>0.583333333333333</v>
      </c>
      <c r="H270" s="26" t="n">
        <v>0.64375</v>
      </c>
      <c r="I270" s="1" t="n">
        <v>87</v>
      </c>
      <c r="J270" s="1" t="s">
        <v>69</v>
      </c>
      <c r="K270" s="27" t="s">
        <v>54</v>
      </c>
      <c r="L270" s="1" t="str">
        <f aca="false">TEXT(A270,"mmm-yyyy")</f>
        <v>Jun-2026</v>
      </c>
      <c r="M270" s="28" t="n">
        <f aca="false">DATE(YEAR(A270),MONTH(A270),1)</f>
        <v>46174</v>
      </c>
    </row>
    <row r="271" customFormat="false" ht="14.25" hidden="false" customHeight="true" outlineLevel="0" collapsed="false">
      <c r="A271" s="25" t="n">
        <v>46203</v>
      </c>
      <c r="B271" s="1" t="s">
        <v>73</v>
      </c>
      <c r="C271" s="1" t="s">
        <v>49</v>
      </c>
      <c r="D271" s="1" t="s">
        <v>74</v>
      </c>
      <c r="E271" s="1" t="s">
        <v>51</v>
      </c>
      <c r="F271" s="1" t="s">
        <v>70</v>
      </c>
      <c r="G271" s="26" t="n">
        <v>0.5625</v>
      </c>
      <c r="H271" s="26" t="n">
        <v>0.619444444444445</v>
      </c>
      <c r="I271" s="1" t="n">
        <v>82</v>
      </c>
      <c r="J271" s="1" t="s">
        <v>53</v>
      </c>
      <c r="K271" s="27" t="s">
        <v>54</v>
      </c>
      <c r="L271" s="1" t="str">
        <f aca="false">TEXT(A271,"mmm-yyyy")</f>
        <v>Jun-2026</v>
      </c>
      <c r="M271" s="28" t="n">
        <f aca="false">DATE(YEAR(A271),MONTH(A271),1)</f>
        <v>46174</v>
      </c>
    </row>
    <row r="272" customFormat="false" ht="14.25" hidden="false" customHeight="true" outlineLevel="0" collapsed="false">
      <c r="A272" s="25" t="n">
        <v>46174</v>
      </c>
      <c r="B272" s="1" t="s">
        <v>55</v>
      </c>
      <c r="C272" s="1" t="s">
        <v>66</v>
      </c>
      <c r="D272" s="1" t="s">
        <v>74</v>
      </c>
      <c r="E272" s="1" t="s">
        <v>67</v>
      </c>
      <c r="F272" s="1" t="s">
        <v>58</v>
      </c>
      <c r="G272" s="26" t="n">
        <v>0.625</v>
      </c>
      <c r="H272" s="26" t="n">
        <v>0.660416666666667</v>
      </c>
      <c r="I272" s="1" t="n">
        <v>51</v>
      </c>
      <c r="J272" s="1" t="s">
        <v>53</v>
      </c>
      <c r="K272" s="27" t="s">
        <v>54</v>
      </c>
      <c r="L272" s="1" t="str">
        <f aca="false">TEXT(A272,"mmm-yyyy")</f>
        <v>Jun-2026</v>
      </c>
      <c r="M272" s="28" t="n">
        <f aca="false">DATE(YEAR(A272),MONTH(A272),1)</f>
        <v>46174</v>
      </c>
    </row>
    <row r="273" customFormat="false" ht="14.25" hidden="false" customHeight="true" outlineLevel="0" collapsed="false">
      <c r="A273" s="25" t="n">
        <v>46175</v>
      </c>
      <c r="B273" s="1" t="s">
        <v>73</v>
      </c>
      <c r="C273" s="1" t="s">
        <v>71</v>
      </c>
      <c r="D273" s="1" t="s">
        <v>62</v>
      </c>
      <c r="E273" s="1" t="s">
        <v>72</v>
      </c>
      <c r="F273" s="1" t="s">
        <v>52</v>
      </c>
      <c r="G273" s="26" t="n">
        <v>0.635416666666667</v>
      </c>
      <c r="H273" s="26" t="n">
        <v>0.695833333333333</v>
      </c>
      <c r="I273" s="1" t="n">
        <v>87</v>
      </c>
      <c r="J273" s="1" t="s">
        <v>59</v>
      </c>
      <c r="K273" s="27" t="s">
        <v>54</v>
      </c>
      <c r="L273" s="1" t="str">
        <f aca="false">TEXT(A273,"mmm-yyyy")</f>
        <v>Jun-2026</v>
      </c>
      <c r="M273" s="28" t="n">
        <f aca="false">DATE(YEAR(A273),MONTH(A273),1)</f>
        <v>46174</v>
      </c>
    </row>
    <row r="274" customFormat="false" ht="14.25" hidden="false" customHeight="true" outlineLevel="0" collapsed="false">
      <c r="A274" s="25" t="n">
        <v>46176</v>
      </c>
      <c r="B274" s="1" t="s">
        <v>55</v>
      </c>
      <c r="C274" s="1" t="s">
        <v>49</v>
      </c>
      <c r="D274" s="1" t="s">
        <v>74</v>
      </c>
      <c r="E274" s="1" t="s">
        <v>51</v>
      </c>
      <c r="F274" s="1" t="s">
        <v>70</v>
      </c>
      <c r="G274" s="26" t="n">
        <v>0.520833333333333</v>
      </c>
      <c r="H274" s="26" t="n">
        <v>0.589583333333333</v>
      </c>
      <c r="I274" s="1" t="n">
        <v>99</v>
      </c>
      <c r="J274" s="1" t="s">
        <v>61</v>
      </c>
      <c r="K274" s="27" t="s">
        <v>54</v>
      </c>
      <c r="L274" s="1" t="str">
        <f aca="false">TEXT(A274,"mmm-yyyy")</f>
        <v>Jun-2026</v>
      </c>
      <c r="M274" s="28" t="n">
        <f aca="false">DATE(YEAR(A274),MONTH(A274),1)</f>
        <v>46174</v>
      </c>
    </row>
    <row r="275" customFormat="false" ht="14.25" hidden="false" customHeight="true" outlineLevel="0" collapsed="false">
      <c r="A275" s="25" t="n">
        <v>46177</v>
      </c>
      <c r="B275" s="1" t="s">
        <v>68</v>
      </c>
      <c r="C275" s="1" t="s">
        <v>66</v>
      </c>
      <c r="D275" s="1" t="s">
        <v>62</v>
      </c>
      <c r="E275" s="1" t="s">
        <v>67</v>
      </c>
      <c r="F275" s="1" t="s">
        <v>70</v>
      </c>
      <c r="G275" s="26" t="n">
        <v>0.5</v>
      </c>
      <c r="H275" s="26" t="n">
        <v>0.51875</v>
      </c>
      <c r="I275" s="1" t="n">
        <v>27</v>
      </c>
      <c r="J275" s="1" t="s">
        <v>53</v>
      </c>
      <c r="K275" s="27" t="s">
        <v>54</v>
      </c>
      <c r="L275" s="1" t="str">
        <f aca="false">TEXT(A275,"mmm-yyyy")</f>
        <v>Jun-2026</v>
      </c>
      <c r="M275" s="28" t="n">
        <f aca="false">DATE(YEAR(A275),MONTH(A275),1)</f>
        <v>46174</v>
      </c>
    </row>
    <row r="276" customFormat="false" ht="14.25" hidden="false" customHeight="true" outlineLevel="0" collapsed="false">
      <c r="A276" s="25" t="n">
        <v>46178</v>
      </c>
      <c r="B276" s="1" t="s">
        <v>68</v>
      </c>
      <c r="C276" s="1" t="s">
        <v>66</v>
      </c>
      <c r="D276" s="1" t="s">
        <v>74</v>
      </c>
      <c r="E276" s="1" t="s">
        <v>67</v>
      </c>
      <c r="F276" s="1" t="s">
        <v>70</v>
      </c>
      <c r="G276" s="26" t="n">
        <v>0.479166666666667</v>
      </c>
      <c r="H276" s="26" t="n">
        <v>0.51875</v>
      </c>
      <c r="I276" s="1" t="n">
        <v>57</v>
      </c>
      <c r="J276" s="1" t="s">
        <v>53</v>
      </c>
      <c r="K276" s="27" t="s">
        <v>54</v>
      </c>
      <c r="L276" s="1" t="str">
        <f aca="false">TEXT(A276,"mmm-yyyy")</f>
        <v>Jun-2026</v>
      </c>
      <c r="M276" s="28" t="n">
        <f aca="false">DATE(YEAR(A276),MONTH(A276),1)</f>
        <v>46174</v>
      </c>
    </row>
    <row r="277" customFormat="false" ht="14.25" hidden="false" customHeight="true" outlineLevel="0" collapsed="false">
      <c r="A277" s="25" t="n">
        <v>46179</v>
      </c>
      <c r="B277" s="1" t="s">
        <v>68</v>
      </c>
      <c r="C277" s="1" t="s">
        <v>66</v>
      </c>
      <c r="D277" s="1" t="s">
        <v>74</v>
      </c>
      <c r="E277" s="1" t="s">
        <v>67</v>
      </c>
      <c r="F277" s="1" t="s">
        <v>70</v>
      </c>
      <c r="G277" s="26" t="n">
        <v>0.645833333333333</v>
      </c>
      <c r="H277" s="26" t="n">
        <v>0.667361111111111</v>
      </c>
      <c r="I277" s="1" t="n">
        <v>31</v>
      </c>
      <c r="J277" s="1" t="s">
        <v>61</v>
      </c>
      <c r="K277" s="27" t="s">
        <v>54</v>
      </c>
      <c r="L277" s="1" t="str">
        <f aca="false">TEXT(A277,"mmm-yyyy")</f>
        <v>Jun-2026</v>
      </c>
      <c r="M277" s="28" t="n">
        <f aca="false">DATE(YEAR(A277),MONTH(A277),1)</f>
        <v>46174</v>
      </c>
    </row>
    <row r="278" customFormat="false" ht="14.25" hidden="false" customHeight="true" outlineLevel="0" collapsed="false">
      <c r="A278" s="25" t="n">
        <v>46180</v>
      </c>
      <c r="B278" s="1" t="s">
        <v>68</v>
      </c>
      <c r="C278" s="1" t="s">
        <v>49</v>
      </c>
      <c r="D278" s="1" t="s">
        <v>60</v>
      </c>
      <c r="E278" s="1" t="s">
        <v>51</v>
      </c>
      <c r="F278" s="1" t="s">
        <v>52</v>
      </c>
      <c r="G278" s="26" t="n">
        <v>0.59375</v>
      </c>
      <c r="H278" s="26" t="n">
        <v>0.620138888888889</v>
      </c>
      <c r="I278" s="1" t="n">
        <v>38</v>
      </c>
      <c r="J278" s="1" t="s">
        <v>59</v>
      </c>
      <c r="K278" s="27" t="s">
        <v>54</v>
      </c>
      <c r="L278" s="1" t="str">
        <f aca="false">TEXT(A278,"mmm-yyyy")</f>
        <v>Jun-2026</v>
      </c>
      <c r="M278" s="28" t="n">
        <f aca="false">DATE(YEAR(A278),MONTH(A278),1)</f>
        <v>46174</v>
      </c>
    </row>
    <row r="279" customFormat="false" ht="14.25" hidden="false" customHeight="true" outlineLevel="0" collapsed="false">
      <c r="A279" s="25" t="n">
        <v>46181</v>
      </c>
      <c r="B279" s="1" t="s">
        <v>2</v>
      </c>
      <c r="C279" s="1" t="s">
        <v>49</v>
      </c>
      <c r="D279" s="1" t="s">
        <v>62</v>
      </c>
      <c r="E279" s="1" t="s">
        <v>51</v>
      </c>
      <c r="F279" s="1" t="s">
        <v>52</v>
      </c>
      <c r="G279" s="26" t="n">
        <v>0.635416666666667</v>
      </c>
      <c r="H279" s="26" t="n">
        <v>0.670138888888889</v>
      </c>
      <c r="I279" s="1" t="n">
        <v>50</v>
      </c>
      <c r="J279" s="1" t="s">
        <v>59</v>
      </c>
      <c r="K279" s="27" t="s">
        <v>54</v>
      </c>
      <c r="L279" s="1" t="str">
        <f aca="false">TEXT(A279,"mmm-yyyy")</f>
        <v>Jun-2026</v>
      </c>
      <c r="M279" s="28" t="n">
        <f aca="false">DATE(YEAR(A279),MONTH(A279),1)</f>
        <v>46174</v>
      </c>
    </row>
    <row r="280" customFormat="false" ht="14.25" hidden="false" customHeight="true" outlineLevel="0" collapsed="false">
      <c r="A280" s="25" t="n">
        <v>46182</v>
      </c>
      <c r="B280" s="1" t="s">
        <v>55</v>
      </c>
      <c r="C280" s="1" t="s">
        <v>49</v>
      </c>
      <c r="D280" s="1" t="s">
        <v>50</v>
      </c>
      <c r="E280" s="1" t="s">
        <v>51</v>
      </c>
      <c r="F280" s="1" t="s">
        <v>70</v>
      </c>
      <c r="G280" s="26" t="n">
        <v>0.697916666666667</v>
      </c>
      <c r="H280" s="26" t="n">
        <v>0.754166666666667</v>
      </c>
      <c r="I280" s="1" t="n">
        <v>81</v>
      </c>
      <c r="J280" s="1" t="s">
        <v>69</v>
      </c>
      <c r="K280" s="27" t="s">
        <v>54</v>
      </c>
      <c r="L280" s="1" t="str">
        <f aca="false">TEXT(A280,"mmm-yyyy")</f>
        <v>Jun-2026</v>
      </c>
      <c r="M280" s="28" t="n">
        <f aca="false">DATE(YEAR(A280),MONTH(A280),1)</f>
        <v>46174</v>
      </c>
    </row>
    <row r="281" customFormat="false" ht="14.25" hidden="false" customHeight="true" outlineLevel="0" collapsed="false">
      <c r="A281" s="25" t="n">
        <v>46183</v>
      </c>
      <c r="B281" s="1" t="s">
        <v>2</v>
      </c>
      <c r="C281" s="1" t="s">
        <v>64</v>
      </c>
      <c r="D281" s="1" t="s">
        <v>50</v>
      </c>
      <c r="E281" s="1" t="s">
        <v>65</v>
      </c>
      <c r="F281" s="1" t="s">
        <v>70</v>
      </c>
      <c r="G281" s="26" t="n">
        <v>0.53125</v>
      </c>
      <c r="H281" s="26" t="n">
        <v>0.566666666666667</v>
      </c>
      <c r="I281" s="1" t="n">
        <v>51</v>
      </c>
      <c r="J281" s="1" t="s">
        <v>69</v>
      </c>
      <c r="K281" s="27" t="s">
        <v>54</v>
      </c>
      <c r="L281" s="1" t="str">
        <f aca="false">TEXT(A281,"mmm-yyyy")</f>
        <v>Jun-2026</v>
      </c>
      <c r="M281" s="28" t="n">
        <f aca="false">DATE(YEAR(A281),MONTH(A281),1)</f>
        <v>46174</v>
      </c>
    </row>
    <row r="282" customFormat="false" ht="14.25" hidden="false" customHeight="true" outlineLevel="0" collapsed="false">
      <c r="A282" s="25" t="n">
        <v>46184</v>
      </c>
      <c r="B282" s="1" t="s">
        <v>63</v>
      </c>
      <c r="C282" s="1" t="s">
        <v>56</v>
      </c>
      <c r="D282" s="1" t="s">
        <v>74</v>
      </c>
      <c r="E282" s="1" t="s">
        <v>57</v>
      </c>
      <c r="F282" s="1" t="s">
        <v>52</v>
      </c>
      <c r="G282" s="26" t="n">
        <v>0.395833333333333</v>
      </c>
      <c r="H282" s="26" t="n">
        <v>0.420138888888889</v>
      </c>
      <c r="I282" s="1" t="n">
        <v>35</v>
      </c>
      <c r="J282" s="1" t="s">
        <v>59</v>
      </c>
      <c r="K282" s="27" t="s">
        <v>54</v>
      </c>
      <c r="L282" s="1" t="str">
        <f aca="false">TEXT(A282,"mmm-yyyy")</f>
        <v>Jun-2026</v>
      </c>
      <c r="M282" s="28" t="n">
        <f aca="false">DATE(YEAR(A282),MONTH(A282),1)</f>
        <v>46174</v>
      </c>
    </row>
    <row r="283" customFormat="false" ht="14.25" hidden="false" customHeight="true" outlineLevel="0" collapsed="false">
      <c r="A283" s="25" t="n">
        <v>46185</v>
      </c>
      <c r="B283" s="1" t="s">
        <v>68</v>
      </c>
      <c r="C283" s="1" t="s">
        <v>71</v>
      </c>
      <c r="D283" s="1" t="s">
        <v>50</v>
      </c>
      <c r="E283" s="1" t="s">
        <v>72</v>
      </c>
      <c r="F283" s="1" t="s">
        <v>52</v>
      </c>
      <c r="G283" s="26" t="n">
        <v>0.541666666666667</v>
      </c>
      <c r="H283" s="26" t="n">
        <v>0.588888888888889</v>
      </c>
      <c r="I283" s="1" t="n">
        <v>68</v>
      </c>
      <c r="J283" s="1" t="s">
        <v>59</v>
      </c>
      <c r="K283" s="27" t="s">
        <v>54</v>
      </c>
      <c r="L283" s="1" t="str">
        <f aca="false">TEXT(A283,"mmm-yyyy")</f>
        <v>Jun-2026</v>
      </c>
      <c r="M283" s="28" t="n">
        <f aca="false">DATE(YEAR(A283),MONTH(A283),1)</f>
        <v>46174</v>
      </c>
    </row>
    <row r="284" customFormat="false" ht="14.25" hidden="false" customHeight="true" outlineLevel="0" collapsed="false">
      <c r="A284" s="25" t="n">
        <v>46186</v>
      </c>
      <c r="B284" s="1" t="s">
        <v>73</v>
      </c>
      <c r="C284" s="1" t="s">
        <v>64</v>
      </c>
      <c r="D284" s="1" t="s">
        <v>60</v>
      </c>
      <c r="E284" s="1" t="s">
        <v>65</v>
      </c>
      <c r="F284" s="1" t="s">
        <v>58</v>
      </c>
      <c r="G284" s="26" t="n">
        <v>0.427083333333333</v>
      </c>
      <c r="H284" s="26" t="n">
        <v>0.466666666666667</v>
      </c>
      <c r="I284" s="1" t="n">
        <v>57</v>
      </c>
      <c r="J284" s="1" t="s">
        <v>59</v>
      </c>
      <c r="K284" s="27" t="s">
        <v>54</v>
      </c>
      <c r="L284" s="1" t="str">
        <f aca="false">TEXT(A284,"mmm-yyyy")</f>
        <v>Jun-2026</v>
      </c>
      <c r="M284" s="28" t="n">
        <f aca="false">DATE(YEAR(A284),MONTH(A284),1)</f>
        <v>46174</v>
      </c>
    </row>
    <row r="285" customFormat="false" ht="14.25" hidden="false" customHeight="true" outlineLevel="0" collapsed="false">
      <c r="A285" s="25" t="n">
        <v>46187</v>
      </c>
      <c r="B285" s="1" t="s">
        <v>63</v>
      </c>
      <c r="C285" s="1" t="s">
        <v>71</v>
      </c>
      <c r="D285" s="1" t="s">
        <v>62</v>
      </c>
      <c r="E285" s="1" t="s">
        <v>72</v>
      </c>
      <c r="F285" s="1" t="s">
        <v>58</v>
      </c>
      <c r="G285" s="26" t="n">
        <v>0.697916666666667</v>
      </c>
      <c r="H285" s="26" t="n">
        <v>0.751388888888889</v>
      </c>
      <c r="I285" s="1" t="n">
        <v>77</v>
      </c>
      <c r="J285" s="1" t="s">
        <v>59</v>
      </c>
      <c r="K285" s="27" t="s">
        <v>54</v>
      </c>
      <c r="L285" s="1" t="str">
        <f aca="false">TEXT(A285,"mmm-yyyy")</f>
        <v>Jun-2026</v>
      </c>
      <c r="M285" s="28" t="n">
        <f aca="false">DATE(YEAR(A285),MONTH(A285),1)</f>
        <v>46174</v>
      </c>
    </row>
    <row r="286" customFormat="false" ht="14.25" hidden="false" customHeight="true" outlineLevel="0" collapsed="false">
      <c r="A286" s="25" t="n">
        <v>46188</v>
      </c>
      <c r="B286" s="1" t="s">
        <v>73</v>
      </c>
      <c r="C286" s="1" t="s">
        <v>66</v>
      </c>
      <c r="D286" s="1" t="s">
        <v>50</v>
      </c>
      <c r="E286" s="1" t="s">
        <v>67</v>
      </c>
      <c r="F286" s="1" t="s">
        <v>70</v>
      </c>
      <c r="G286" s="26" t="n">
        <v>0.447916666666667</v>
      </c>
      <c r="H286" s="26" t="n">
        <v>0.476388888888889</v>
      </c>
      <c r="I286" s="1" t="n">
        <v>41</v>
      </c>
      <c r="J286" s="1" t="s">
        <v>61</v>
      </c>
      <c r="K286" s="27" t="s">
        <v>54</v>
      </c>
      <c r="L286" s="1" t="str">
        <f aca="false">TEXT(A286,"mmm-yyyy")</f>
        <v>Jun-2026</v>
      </c>
      <c r="M286" s="28" t="n">
        <f aca="false">DATE(YEAR(A286),MONTH(A286),1)</f>
        <v>46174</v>
      </c>
    </row>
    <row r="287" customFormat="false" ht="14.25" hidden="false" customHeight="true" outlineLevel="0" collapsed="false">
      <c r="A287" s="25" t="n">
        <v>46189</v>
      </c>
      <c r="B287" s="1" t="s">
        <v>73</v>
      </c>
      <c r="C287" s="1" t="s">
        <v>64</v>
      </c>
      <c r="D287" s="1" t="s">
        <v>60</v>
      </c>
      <c r="E287" s="1" t="s">
        <v>65</v>
      </c>
      <c r="F287" s="1" t="s">
        <v>52</v>
      </c>
      <c r="G287" s="26" t="n">
        <v>0.510416666666667</v>
      </c>
      <c r="H287" s="26" t="n">
        <v>0.557638888888889</v>
      </c>
      <c r="I287" s="1" t="n">
        <v>68</v>
      </c>
      <c r="J287" s="1" t="s">
        <v>61</v>
      </c>
      <c r="K287" s="27" t="s">
        <v>54</v>
      </c>
      <c r="L287" s="1" t="str">
        <f aca="false">TEXT(A287,"mmm-yyyy")</f>
        <v>Jun-2026</v>
      </c>
      <c r="M287" s="28" t="n">
        <f aca="false">DATE(YEAR(A287),MONTH(A287),1)</f>
        <v>46174</v>
      </c>
    </row>
    <row r="288" customFormat="false" ht="14.25" hidden="false" customHeight="true" outlineLevel="0" collapsed="false">
      <c r="A288" s="25" t="n">
        <v>46190</v>
      </c>
      <c r="B288" s="1" t="s">
        <v>55</v>
      </c>
      <c r="C288" s="1" t="s">
        <v>71</v>
      </c>
      <c r="D288" s="1" t="s">
        <v>50</v>
      </c>
      <c r="E288" s="1" t="s">
        <v>72</v>
      </c>
      <c r="F288" s="1" t="s">
        <v>70</v>
      </c>
      <c r="G288" s="26" t="n">
        <v>0.5625</v>
      </c>
      <c r="H288" s="26" t="n">
        <v>0.643055555555556</v>
      </c>
      <c r="I288" s="1" t="n">
        <v>116</v>
      </c>
      <c r="J288" s="1" t="s">
        <v>61</v>
      </c>
      <c r="K288" s="27" t="s">
        <v>54</v>
      </c>
      <c r="L288" s="1" t="str">
        <f aca="false">TEXT(A288,"mmm-yyyy")</f>
        <v>Jun-2026</v>
      </c>
      <c r="M288" s="28" t="n">
        <f aca="false">DATE(YEAR(A288),MONTH(A288),1)</f>
        <v>46174</v>
      </c>
    </row>
    <row r="289" customFormat="false" ht="14.25" hidden="false" customHeight="true" outlineLevel="0" collapsed="false">
      <c r="A289" s="25" t="n">
        <v>46191</v>
      </c>
      <c r="B289" s="1" t="s">
        <v>68</v>
      </c>
      <c r="C289" s="1" t="s">
        <v>71</v>
      </c>
      <c r="D289" s="1" t="s">
        <v>74</v>
      </c>
      <c r="E289" s="1" t="s">
        <v>72</v>
      </c>
      <c r="F289" s="1" t="s">
        <v>58</v>
      </c>
      <c r="G289" s="26" t="n">
        <v>0.625</v>
      </c>
      <c r="H289" s="26" t="n">
        <v>0.65</v>
      </c>
      <c r="I289" s="1" t="n">
        <v>36</v>
      </c>
      <c r="J289" s="1" t="s">
        <v>61</v>
      </c>
      <c r="K289" s="27" t="s">
        <v>54</v>
      </c>
      <c r="L289" s="1" t="str">
        <f aca="false">TEXT(A289,"mmm-yyyy")</f>
        <v>Jun-2026</v>
      </c>
      <c r="M289" s="28" t="n">
        <f aca="false">DATE(YEAR(A289),MONTH(A289),1)</f>
        <v>46174</v>
      </c>
    </row>
    <row r="290" customFormat="false" ht="14.25" hidden="false" customHeight="true" outlineLevel="0" collapsed="false">
      <c r="A290" s="25" t="n">
        <v>46192</v>
      </c>
      <c r="B290" s="1" t="s">
        <v>73</v>
      </c>
      <c r="C290" s="1" t="s">
        <v>56</v>
      </c>
      <c r="D290" s="1" t="s">
        <v>74</v>
      </c>
      <c r="E290" s="1" t="s">
        <v>57</v>
      </c>
      <c r="F290" s="1" t="s">
        <v>52</v>
      </c>
      <c r="G290" s="26" t="n">
        <v>0.572916666666667</v>
      </c>
      <c r="H290" s="26" t="n">
        <v>0.613888888888889</v>
      </c>
      <c r="I290" s="1" t="n">
        <v>59</v>
      </c>
      <c r="J290" s="1" t="s">
        <v>69</v>
      </c>
      <c r="K290" s="27" t="s">
        <v>54</v>
      </c>
      <c r="L290" s="1" t="str">
        <f aca="false">TEXT(A290,"mmm-yyyy")</f>
        <v>Jun-2026</v>
      </c>
      <c r="M290" s="28" t="n">
        <f aca="false">DATE(YEAR(A290),MONTH(A290),1)</f>
        <v>46174</v>
      </c>
    </row>
    <row r="291" customFormat="false" ht="14.25" hidden="false" customHeight="true" outlineLevel="0" collapsed="false">
      <c r="A291" s="25" t="n">
        <v>46193</v>
      </c>
      <c r="B291" s="1" t="s">
        <v>63</v>
      </c>
      <c r="C291" s="1" t="s">
        <v>64</v>
      </c>
      <c r="D291" s="1" t="s">
        <v>62</v>
      </c>
      <c r="E291" s="1" t="s">
        <v>65</v>
      </c>
      <c r="F291" s="1" t="s">
        <v>58</v>
      </c>
      <c r="G291" s="26" t="n">
        <v>0.666666666666667</v>
      </c>
      <c r="H291" s="26" t="n">
        <v>0.693055555555556</v>
      </c>
      <c r="I291" s="1" t="n">
        <v>38</v>
      </c>
      <c r="J291" s="1" t="s">
        <v>69</v>
      </c>
      <c r="K291" s="27" t="s">
        <v>54</v>
      </c>
      <c r="L291" s="1" t="str">
        <f aca="false">TEXT(A291,"mmm-yyyy")</f>
        <v>Jun-2026</v>
      </c>
      <c r="M291" s="28" t="n">
        <f aca="false">DATE(YEAR(A291),MONTH(A291),1)</f>
        <v>46174</v>
      </c>
    </row>
    <row r="292" customFormat="false" ht="14.25" hidden="false" customHeight="true" outlineLevel="0" collapsed="false">
      <c r="A292" s="25" t="n">
        <v>46194</v>
      </c>
      <c r="B292" s="1" t="s">
        <v>68</v>
      </c>
      <c r="C292" s="1" t="s">
        <v>71</v>
      </c>
      <c r="D292" s="1" t="s">
        <v>50</v>
      </c>
      <c r="E292" s="1" t="s">
        <v>72</v>
      </c>
      <c r="F292" s="1" t="s">
        <v>52</v>
      </c>
      <c r="G292" s="26" t="n">
        <v>0.697916666666667</v>
      </c>
      <c r="H292" s="26" t="n">
        <v>0.775694444444445</v>
      </c>
      <c r="I292" s="1" t="n">
        <v>112</v>
      </c>
      <c r="J292" s="1" t="s">
        <v>59</v>
      </c>
      <c r="K292" s="27" t="s">
        <v>54</v>
      </c>
      <c r="L292" s="1" t="str">
        <f aca="false">TEXT(A292,"mmm-yyyy")</f>
        <v>Jun-2026</v>
      </c>
      <c r="M292" s="28" t="n">
        <f aca="false">DATE(YEAR(A292),MONTH(A292),1)</f>
        <v>46174</v>
      </c>
    </row>
    <row r="293" customFormat="false" ht="14.25" hidden="false" customHeight="true" outlineLevel="0" collapsed="false">
      <c r="A293" s="25" t="n">
        <v>46195</v>
      </c>
      <c r="B293" s="1" t="s">
        <v>55</v>
      </c>
      <c r="C293" s="1" t="s">
        <v>64</v>
      </c>
      <c r="D293" s="1" t="s">
        <v>60</v>
      </c>
      <c r="E293" s="1" t="s">
        <v>65</v>
      </c>
      <c r="F293" s="1" t="s">
        <v>70</v>
      </c>
      <c r="G293" s="26" t="n">
        <v>0.625</v>
      </c>
      <c r="H293" s="26" t="n">
        <v>0.699305555555556</v>
      </c>
      <c r="I293" s="1" t="n">
        <v>107</v>
      </c>
      <c r="J293" s="1" t="s">
        <v>61</v>
      </c>
      <c r="K293" s="27" t="s">
        <v>54</v>
      </c>
      <c r="L293" s="1" t="str">
        <f aca="false">TEXT(A293,"mmm-yyyy")</f>
        <v>Jun-2026</v>
      </c>
      <c r="M293" s="28" t="n">
        <f aca="false">DATE(YEAR(A293),MONTH(A293),1)</f>
        <v>46174</v>
      </c>
    </row>
    <row r="294" customFormat="false" ht="14.25" hidden="false" customHeight="true" outlineLevel="0" collapsed="false">
      <c r="A294" s="25" t="n">
        <v>46196</v>
      </c>
      <c r="B294" s="1" t="s">
        <v>68</v>
      </c>
      <c r="C294" s="1" t="s">
        <v>71</v>
      </c>
      <c r="D294" s="1" t="s">
        <v>60</v>
      </c>
      <c r="E294" s="1" t="s">
        <v>72</v>
      </c>
      <c r="F294" s="1" t="s">
        <v>58</v>
      </c>
      <c r="G294" s="26" t="n">
        <v>0.572916666666667</v>
      </c>
      <c r="H294" s="26" t="n">
        <v>0.634027777777778</v>
      </c>
      <c r="I294" s="1" t="n">
        <v>88</v>
      </c>
      <c r="J294" s="1" t="s">
        <v>61</v>
      </c>
      <c r="K294" s="27" t="s">
        <v>54</v>
      </c>
      <c r="L294" s="1" t="str">
        <f aca="false">TEXT(A294,"mmm-yyyy")</f>
        <v>Jun-2026</v>
      </c>
      <c r="M294" s="28" t="n">
        <f aca="false">DATE(YEAR(A294),MONTH(A294),1)</f>
        <v>46174</v>
      </c>
    </row>
    <row r="295" customFormat="false" ht="14.25" hidden="false" customHeight="true" outlineLevel="0" collapsed="false">
      <c r="A295" s="25" t="n">
        <v>46197</v>
      </c>
      <c r="B295" s="1" t="s">
        <v>2</v>
      </c>
      <c r="C295" s="1" t="s">
        <v>64</v>
      </c>
      <c r="D295" s="1" t="s">
        <v>62</v>
      </c>
      <c r="E295" s="1" t="s">
        <v>65</v>
      </c>
      <c r="F295" s="1" t="s">
        <v>58</v>
      </c>
      <c r="G295" s="26" t="n">
        <v>0.375</v>
      </c>
      <c r="H295" s="26" t="n">
        <v>0.452083333333333</v>
      </c>
      <c r="I295" s="1" t="n">
        <v>111</v>
      </c>
      <c r="J295" s="1" t="s">
        <v>69</v>
      </c>
      <c r="K295" s="27" t="s">
        <v>54</v>
      </c>
      <c r="L295" s="1" t="str">
        <f aca="false">TEXT(A295,"mmm-yyyy")</f>
        <v>Jun-2026</v>
      </c>
      <c r="M295" s="28" t="n">
        <f aca="false">DATE(YEAR(A295),MONTH(A295),1)</f>
        <v>46174</v>
      </c>
    </row>
    <row r="296" customFormat="false" ht="14.25" hidden="false" customHeight="true" outlineLevel="0" collapsed="false">
      <c r="A296" s="25" t="n">
        <v>46198</v>
      </c>
      <c r="B296" s="1" t="s">
        <v>63</v>
      </c>
      <c r="C296" s="1" t="s">
        <v>56</v>
      </c>
      <c r="D296" s="1" t="s">
        <v>50</v>
      </c>
      <c r="E296" s="1" t="s">
        <v>57</v>
      </c>
      <c r="F296" s="1" t="s">
        <v>58</v>
      </c>
      <c r="G296" s="26" t="n">
        <v>0.541666666666667</v>
      </c>
      <c r="H296" s="26" t="n">
        <v>0.563194444444444</v>
      </c>
      <c r="I296" s="1" t="n">
        <v>31</v>
      </c>
      <c r="J296" s="1" t="s">
        <v>69</v>
      </c>
      <c r="K296" s="27" t="s">
        <v>54</v>
      </c>
      <c r="L296" s="1" t="str">
        <f aca="false">TEXT(A296,"mmm-yyyy")</f>
        <v>Jun-2026</v>
      </c>
      <c r="M296" s="28" t="n">
        <f aca="false">DATE(YEAR(A296),MONTH(A296),1)</f>
        <v>46174</v>
      </c>
    </row>
    <row r="297" customFormat="false" ht="14.25" hidden="false" customHeight="true" outlineLevel="0" collapsed="false">
      <c r="A297" s="25" t="n">
        <v>46199</v>
      </c>
      <c r="B297" s="1" t="s">
        <v>2</v>
      </c>
      <c r="C297" s="1" t="s">
        <v>56</v>
      </c>
      <c r="D297" s="1" t="s">
        <v>74</v>
      </c>
      <c r="E297" s="1" t="s">
        <v>57</v>
      </c>
      <c r="F297" s="1" t="s">
        <v>70</v>
      </c>
      <c r="G297" s="26" t="n">
        <v>0.6875</v>
      </c>
      <c r="H297" s="26" t="n">
        <v>0.751388888888889</v>
      </c>
      <c r="I297" s="1" t="n">
        <v>92</v>
      </c>
      <c r="J297" s="1" t="s">
        <v>53</v>
      </c>
      <c r="K297" s="27" t="s">
        <v>54</v>
      </c>
      <c r="L297" s="1" t="str">
        <f aca="false">TEXT(A297,"mmm-yyyy")</f>
        <v>Jun-2026</v>
      </c>
      <c r="M297" s="28" t="n">
        <f aca="false">DATE(YEAR(A297),MONTH(A297),1)</f>
        <v>46174</v>
      </c>
    </row>
    <row r="298" customFormat="false" ht="14.25" hidden="false" customHeight="true" outlineLevel="0" collapsed="false">
      <c r="A298" s="25" t="n">
        <v>46200</v>
      </c>
      <c r="B298" s="1" t="s">
        <v>2</v>
      </c>
      <c r="C298" s="1" t="s">
        <v>71</v>
      </c>
      <c r="D298" s="1" t="s">
        <v>62</v>
      </c>
      <c r="E298" s="1" t="s">
        <v>72</v>
      </c>
      <c r="F298" s="1" t="s">
        <v>52</v>
      </c>
      <c r="G298" s="26" t="n">
        <v>0.697916666666667</v>
      </c>
      <c r="H298" s="26" t="n">
        <v>0.778472222222222</v>
      </c>
      <c r="I298" s="1" t="n">
        <v>116</v>
      </c>
      <c r="J298" s="1" t="s">
        <v>69</v>
      </c>
      <c r="K298" s="27" t="s">
        <v>54</v>
      </c>
      <c r="L298" s="1" t="str">
        <f aca="false">TEXT(A298,"mmm-yyyy")</f>
        <v>Jun-2026</v>
      </c>
      <c r="M298" s="28" t="n">
        <f aca="false">DATE(YEAR(A298),MONTH(A298),1)</f>
        <v>46174</v>
      </c>
    </row>
    <row r="299" customFormat="false" ht="14.25" hidden="false" customHeight="true" outlineLevel="0" collapsed="false">
      <c r="A299" s="25" t="n">
        <v>46201</v>
      </c>
      <c r="B299" s="1" t="s">
        <v>73</v>
      </c>
      <c r="C299" s="1" t="s">
        <v>71</v>
      </c>
      <c r="D299" s="1" t="s">
        <v>62</v>
      </c>
      <c r="E299" s="1" t="s">
        <v>72</v>
      </c>
      <c r="F299" s="1" t="s">
        <v>58</v>
      </c>
      <c r="G299" s="26" t="n">
        <v>0.395833333333333</v>
      </c>
      <c r="H299" s="26" t="n">
        <v>0.465972222222222</v>
      </c>
      <c r="I299" s="1" t="n">
        <v>101</v>
      </c>
      <c r="J299" s="1" t="s">
        <v>61</v>
      </c>
      <c r="K299" s="27" t="s">
        <v>54</v>
      </c>
      <c r="L299" s="1" t="str">
        <f aca="false">TEXT(A299,"mmm-yyyy")</f>
        <v>Jun-2026</v>
      </c>
      <c r="M299" s="28" t="n">
        <f aca="false">DATE(YEAR(A299),MONTH(A299),1)</f>
        <v>46174</v>
      </c>
    </row>
    <row r="300" customFormat="false" ht="14.25" hidden="false" customHeight="true" outlineLevel="0" collapsed="false">
      <c r="A300" s="25" t="n">
        <v>46202</v>
      </c>
      <c r="B300" s="1" t="s">
        <v>2</v>
      </c>
      <c r="C300" s="1" t="s">
        <v>56</v>
      </c>
      <c r="D300" s="1" t="s">
        <v>62</v>
      </c>
      <c r="E300" s="1" t="s">
        <v>57</v>
      </c>
      <c r="F300" s="1" t="s">
        <v>70</v>
      </c>
      <c r="G300" s="26" t="n">
        <v>0.46875</v>
      </c>
      <c r="H300" s="26" t="n">
        <v>0.532638888888889</v>
      </c>
      <c r="I300" s="1" t="n">
        <v>92</v>
      </c>
      <c r="J300" s="1" t="s">
        <v>69</v>
      </c>
      <c r="K300" s="27" t="s">
        <v>54</v>
      </c>
      <c r="L300" s="1" t="str">
        <f aca="false">TEXT(A300,"mmm-yyyy")</f>
        <v>Jun-2026</v>
      </c>
      <c r="M300" s="28" t="n">
        <f aca="false">DATE(YEAR(A300),MONTH(A300),1)</f>
        <v>46174</v>
      </c>
    </row>
    <row r="301" customFormat="false" ht="14.25" hidden="false" customHeight="true" outlineLevel="0" collapsed="false">
      <c r="A301" s="25" t="n">
        <v>46203</v>
      </c>
      <c r="B301" s="1" t="s">
        <v>63</v>
      </c>
      <c r="C301" s="1" t="s">
        <v>71</v>
      </c>
      <c r="D301" s="1" t="s">
        <v>60</v>
      </c>
      <c r="E301" s="1" t="s">
        <v>72</v>
      </c>
      <c r="F301" s="1" t="s">
        <v>52</v>
      </c>
      <c r="G301" s="26" t="n">
        <v>0.53125</v>
      </c>
      <c r="H301" s="26" t="n">
        <v>0.554166666666667</v>
      </c>
      <c r="I301" s="1" t="n">
        <v>33</v>
      </c>
      <c r="J301" s="1" t="s">
        <v>53</v>
      </c>
      <c r="K301" s="27" t="s">
        <v>54</v>
      </c>
      <c r="L301" s="1" t="str">
        <f aca="false">TEXT(A301,"mmm-yyyy")</f>
        <v>Jun-2026</v>
      </c>
      <c r="M301" s="28" t="n">
        <f aca="false">DATE(YEAR(A301),MONTH(A301),1)</f>
        <v>46174</v>
      </c>
    </row>
  </sheetData>
  <conditionalFormatting sqref="K2:K301">
    <cfRule type="cellIs" priority="2" operator="equal" aboveAverage="0" equalAverage="0" bottom="0" percent="0" rank="0" text="" dxfId="5">
      <formula>"Completed"</formula>
    </cfRule>
    <cfRule type="cellIs" priority="3" operator="equal" aboveAverage="0" equalAverage="0" bottom="0" percent="0" rank="0" text="" dxfId="6">
      <formula>"Pending"</formula>
    </cfRule>
    <cfRule type="expression" priority="4" aboveAverage="0" equalAverage="0" bottom="0" percent="0" rank="0" text="" dxfId="7">
      <formula>OR($K2="Cancelled",$K2="Failed")</formula>
    </cfRule>
  </conditionalFormatting>
  <conditionalFormatting sqref="I2:I301">
    <cfRule type="dataBar" priority="5">
      <dataBar showValue="1" minLength="10" maxLength="90">
        <cfvo type="min" val="0"/>
        <cfvo type="max" val="0"/>
        <color rgb="FF2E74B5"/>
      </dataBar>
      <extLst>
        <ext xmlns:x14="http://schemas.microsoft.com/office/spreadsheetml/2009/9/main" uri="{B025F937-C7B1-47D3-B67F-A62EFF666E3E}">
          <x14:id>{771EE6AB-BA38-4353-B883-285FC8F11C5E}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1EE6AB-BA38-4353-B883-285FC8F11C5E}">
            <x14:dataBar minLength="10" maxLength="90" axisPosition="none" gradient="true">
              <x14:cfvo type="min"/>
              <x14:cfvo type="max"/>
              <x14:negativeFillColor rgb="FF2E74B5"/>
              <x14:axisColor rgb="FF000000"/>
            </x14:dataBar>
          </x14:cfRule>
          <xm:sqref>I2:I301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A9A9"/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14"/>
  </cols>
  <sheetData>
    <row r="1" customFormat="false" ht="15" hidden="false" customHeight="true" outlineLevel="0" collapsed="false">
      <c r="A1" s="29" t="s">
        <v>75</v>
      </c>
      <c r="C1" s="29" t="s">
        <v>76</v>
      </c>
      <c r="E1" s="29" t="s">
        <v>77</v>
      </c>
      <c r="G1" s="29" t="s">
        <v>78</v>
      </c>
      <c r="I1" s="29" t="s">
        <v>79</v>
      </c>
    </row>
    <row r="2" customFormat="false" ht="15" hidden="false" customHeight="true" outlineLevel="0" collapsed="false">
      <c r="A2" s="30" t="s">
        <v>15</v>
      </c>
      <c r="C2" s="30" t="s">
        <v>24</v>
      </c>
      <c r="E2" s="30" t="s">
        <v>47</v>
      </c>
      <c r="G2" s="30" t="s">
        <v>25</v>
      </c>
      <c r="I2" s="30" t="s">
        <v>46</v>
      </c>
    </row>
    <row r="3" customFormat="false" ht="15" hidden="false" customHeight="true" outlineLevel="0" collapsed="false">
      <c r="A3" s="1" t="s">
        <v>2</v>
      </c>
      <c r="C3" s="1" t="s">
        <v>50</v>
      </c>
      <c r="E3" s="1" t="s">
        <v>54</v>
      </c>
      <c r="G3" s="1" t="s">
        <v>52</v>
      </c>
      <c r="I3" s="1" t="s">
        <v>53</v>
      </c>
    </row>
    <row r="4" customFormat="false" ht="15" hidden="false" customHeight="true" outlineLevel="0" collapsed="false">
      <c r="A4" s="1" t="s">
        <v>55</v>
      </c>
      <c r="C4" s="1" t="s">
        <v>60</v>
      </c>
      <c r="E4" s="1" t="s">
        <v>34</v>
      </c>
      <c r="G4" s="1" t="s">
        <v>58</v>
      </c>
      <c r="I4" s="1" t="s">
        <v>59</v>
      </c>
    </row>
    <row r="5" customFormat="false" ht="15" hidden="false" customHeight="true" outlineLevel="0" collapsed="false">
      <c r="A5" s="1" t="s">
        <v>63</v>
      </c>
      <c r="C5" s="1" t="s">
        <v>62</v>
      </c>
      <c r="E5" s="1" t="s">
        <v>80</v>
      </c>
      <c r="G5" s="1" t="s">
        <v>70</v>
      </c>
      <c r="I5" s="1" t="s">
        <v>61</v>
      </c>
    </row>
    <row r="6" customFormat="false" ht="15" hidden="false" customHeight="true" outlineLevel="0" collapsed="false">
      <c r="A6" s="1" t="s">
        <v>68</v>
      </c>
      <c r="C6" s="1" t="s">
        <v>74</v>
      </c>
      <c r="I6" s="1" t="s">
        <v>69</v>
      </c>
    </row>
    <row r="7" customFormat="false" ht="15" hidden="false" customHeight="true" outlineLevel="0" collapsed="false">
      <c r="A7" s="1" t="s">
        <v>73</v>
      </c>
    </row>
    <row r="10" customFormat="false" ht="15" hidden="false" customHeight="true" outlineLevel="0" collapsed="false">
      <c r="A10" s="29" t="s">
        <v>81</v>
      </c>
    </row>
    <row r="11" customFormat="false" ht="15" hidden="false" customHeight="true" outlineLevel="0" collapsed="false">
      <c r="A11" s="30" t="s">
        <v>23</v>
      </c>
    </row>
    <row r="12" customFormat="false" ht="15" hidden="false" customHeight="true" outlineLevel="0" collapsed="false">
      <c r="A12" s="1" t="s">
        <v>51</v>
      </c>
    </row>
    <row r="13" customFormat="false" ht="15" hidden="false" customHeight="true" outlineLevel="0" collapsed="false">
      <c r="A13" s="1" t="s">
        <v>72</v>
      </c>
    </row>
    <row r="14" customFormat="false" ht="15" hidden="false" customHeight="true" outlineLevel="0" collapsed="false">
      <c r="A14" s="1" t="s">
        <v>67</v>
      </c>
    </row>
    <row r="15" customFormat="false" ht="15" hidden="false" customHeight="true" outlineLevel="0" collapsed="false">
      <c r="A15" s="1" t="s">
        <v>57</v>
      </c>
    </row>
    <row r="16" customFormat="false" ht="15" hidden="false" customHeight="true" outlineLevel="0" collapsed="false">
      <c r="A16" s="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A9A9"/>
    <pageSetUpPr fitToPage="false"/>
  </sheetPr>
  <dimension ref="A1:W8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3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1" min="11" style="1" width="2"/>
    <col collapsed="false" customWidth="true" hidden="false" outlineLevel="0" max="12" min="12" style="1" width="14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6" min="16" style="1" width="2"/>
    <col collapsed="false" customWidth="true" hidden="false" outlineLevel="0" max="17" min="17" style="1" width="12"/>
    <col collapsed="false" customWidth="true" hidden="false" outlineLevel="0" max="18" min="18" style="1" width="9"/>
    <col collapsed="false" customWidth="true" hidden="false" outlineLevel="0" max="19" min="19" style="1" width="2"/>
    <col collapsed="false" customWidth="true" hidden="false" outlineLevel="0" max="20" min="20" style="1" width="13"/>
    <col collapsed="false" customWidth="true" hidden="false" outlineLevel="0" max="21" min="21" style="1" width="10"/>
    <col collapsed="false" customWidth="true" hidden="false" outlineLevel="0" max="22" min="22" style="1" width="2"/>
    <col collapsed="false" customWidth="true" hidden="false" outlineLevel="0" max="23" min="23" style="1" width="13"/>
  </cols>
  <sheetData>
    <row r="1" customFormat="false" ht="15" hidden="false" customHeight="true" outlineLevel="0" collapsed="false">
      <c r="A1" s="29" t="s">
        <v>82</v>
      </c>
      <c r="K1" s="29" t="s">
        <v>83</v>
      </c>
      <c r="P1" s="29" t="s">
        <v>84</v>
      </c>
      <c r="S1" s="29" t="s">
        <v>85</v>
      </c>
      <c r="V1" s="29" t="s">
        <v>86</v>
      </c>
    </row>
    <row r="2" customFormat="false" ht="15" hidden="false" customHeight="true" outlineLevel="0" collapsed="false">
      <c r="A2" s="30" t="s">
        <v>15</v>
      </c>
      <c r="B2" s="30" t="s">
        <v>3</v>
      </c>
      <c r="C2" s="30" t="s">
        <v>16</v>
      </c>
      <c r="D2" s="30" t="s">
        <v>17</v>
      </c>
      <c r="E2" s="30" t="s">
        <v>27</v>
      </c>
      <c r="F2" s="30" t="s">
        <v>87</v>
      </c>
      <c r="G2" s="30" t="s">
        <v>19</v>
      </c>
      <c r="H2" s="30" t="s">
        <v>20</v>
      </c>
      <c r="I2" s="30" t="s">
        <v>21</v>
      </c>
      <c r="K2" s="30" t="s">
        <v>24</v>
      </c>
      <c r="L2" s="30" t="s">
        <v>88</v>
      </c>
      <c r="M2" s="30" t="s">
        <v>45</v>
      </c>
      <c r="N2" s="30" t="s">
        <v>89</v>
      </c>
      <c r="P2" s="30" t="s">
        <v>47</v>
      </c>
      <c r="Q2" s="30" t="s">
        <v>88</v>
      </c>
      <c r="S2" s="30" t="s">
        <v>25</v>
      </c>
      <c r="T2" s="30" t="s">
        <v>88</v>
      </c>
      <c r="V2" s="30" t="s">
        <v>46</v>
      </c>
      <c r="W2" s="30" t="s">
        <v>88</v>
      </c>
    </row>
    <row r="3" customFormat="false" ht="15" hidden="false" customHeight="true" outlineLevel="0" collapsed="false">
      <c r="A3" s="11" t="str">
        <f aca="false">Calculations!A3</f>
        <v>Arun</v>
      </c>
      <c r="B3" s="11" t="n">
        <f aca="false">COUNTIF(RawDataTable[Employee],A3)</f>
        <v>60</v>
      </c>
      <c r="C3" s="11" t="n">
        <f aca="false">SUMPRODUCT((RawDataTable[Employee]=A3)/COUNTIFS(RawDataTable[Employee],RawDataTable[Employee],RawDataTable[Date],RawDataTable[Date]))</f>
        <v>28</v>
      </c>
      <c r="D3" s="12" t="n">
        <f aca="false">IFERROR(B3/C3,0)</f>
        <v>2.14285714285714</v>
      </c>
      <c r="E3" s="15" t="n">
        <f aca="false">SUMIF(RawDataTable[Employee],A3,RawDataTable[Time Spent (mins)])</f>
        <v>4373</v>
      </c>
      <c r="F3" s="13" t="n">
        <f aca="false">E3/60</f>
        <v>72.8833333333333</v>
      </c>
      <c r="G3" s="13" t="n">
        <f aca="false">IFERROR(E3/B3,0)</f>
        <v>72.8833333333333</v>
      </c>
      <c r="H3" s="14" t="n">
        <f aca="false">IFERROR(COUNTIFS(RawDataTable[Employee],A3,RawDataTable[Status],"Completed")/B3,0)</f>
        <v>1</v>
      </c>
      <c r="I3" s="15" t="n">
        <f aca="false">RANK(B3,$B$3:$B$7)</f>
        <v>3</v>
      </c>
      <c r="K3" s="11" t="str">
        <f aca="false">Calculations!C3</f>
        <v>Distributor</v>
      </c>
      <c r="L3" s="11" t="n">
        <f aca="false">COUNTIF(RawDataTable[Account Type],K3)</f>
        <v>81</v>
      </c>
      <c r="M3" s="11" t="n">
        <f aca="false">SUMIF(RawDataTable[Account Type],K3,RawDataTable[Time Spent (mins)])</f>
        <v>5791</v>
      </c>
      <c r="N3" s="11" t="n">
        <f aca="false">M3/60</f>
        <v>96.5166666666667</v>
      </c>
      <c r="P3" s="11" t="str">
        <f aca="false">Calculations!E3</f>
        <v>Completed</v>
      </c>
      <c r="Q3" s="11" t="n">
        <f aca="false">COUNTIF(RawDataTable[Status],P3)</f>
        <v>300</v>
      </c>
      <c r="S3" s="11" t="str">
        <f aca="false">Calculations!G3</f>
        <v>Coimbatore</v>
      </c>
      <c r="T3" s="11" t="n">
        <f aca="false">COUNTIF(RawDataTable[Location],S3)</f>
        <v>95</v>
      </c>
      <c r="V3" s="11" t="str">
        <f aca="false">Calculations!I3</f>
        <v>Follow-up</v>
      </c>
      <c r="W3" s="11" t="n">
        <f aca="false">COUNTIF(RawDataTable[Visit Type],V3)</f>
        <v>77</v>
      </c>
    </row>
    <row r="4" customFormat="false" ht="15" hidden="false" customHeight="true" outlineLevel="0" collapsed="false">
      <c r="A4" s="11" t="str">
        <f aca="false">Calculations!A4</f>
        <v>Kiran</v>
      </c>
      <c r="B4" s="11" t="n">
        <f aca="false">COUNTIF(RawDataTable[Employee],A4)</f>
        <v>66</v>
      </c>
      <c r="C4" s="11" t="n">
        <f aca="false">SUMPRODUCT((RawDataTable[Employee]=A4)/COUNTIFS(RawDataTable[Employee],RawDataTable[Employee],RawDataTable[Date],RawDataTable[Date]))</f>
        <v>28</v>
      </c>
      <c r="D4" s="12" t="n">
        <f aca="false">IFERROR(B4/C4,0)</f>
        <v>2.35714285714286</v>
      </c>
      <c r="E4" s="15" t="n">
        <f aca="false">SUMIF(RawDataTable[Employee],A4,RawDataTable[Time Spent (mins)])</f>
        <v>4768</v>
      </c>
      <c r="F4" s="13" t="n">
        <f aca="false">E4/60</f>
        <v>79.4666666666667</v>
      </c>
      <c r="G4" s="13" t="n">
        <f aca="false">IFERROR(E4/B4,0)</f>
        <v>72.2424242424243</v>
      </c>
      <c r="H4" s="14" t="n">
        <f aca="false">IFERROR(COUNTIFS(RawDataTable[Employee],A4,RawDataTable[Status],"Completed")/B4,0)</f>
        <v>1</v>
      </c>
      <c r="I4" s="15" t="n">
        <f aca="false">RANK(B4,$B$3:$B$7)</f>
        <v>1</v>
      </c>
      <c r="K4" s="11" t="str">
        <f aca="false">Calculations!C4</f>
        <v>OEM</v>
      </c>
      <c r="L4" s="11" t="n">
        <f aca="false">COUNTIF(RawDataTable[Account Type],K4)</f>
        <v>75</v>
      </c>
      <c r="M4" s="11" t="n">
        <f aca="false">SUMIF(RawDataTable[Account Type],K4,RawDataTable[Time Spent (mins)])</f>
        <v>5116</v>
      </c>
      <c r="N4" s="11" t="n">
        <f aca="false">M4/60</f>
        <v>85.2666666666667</v>
      </c>
      <c r="P4" s="11" t="str">
        <f aca="false">Calculations!E4</f>
        <v>Pending</v>
      </c>
      <c r="Q4" s="11" t="n">
        <f aca="false">COUNTIF(RawDataTable[Status],P4)</f>
        <v>0</v>
      </c>
      <c r="S4" s="11" t="str">
        <f aca="false">Calculations!G4</f>
        <v>Chennai</v>
      </c>
      <c r="T4" s="11" t="n">
        <f aca="false">COUNTIF(RawDataTable[Location],S4)</f>
        <v>99</v>
      </c>
      <c r="V4" s="11" t="str">
        <f aca="false">Calculations!I4</f>
        <v>Demo</v>
      </c>
      <c r="W4" s="11" t="n">
        <f aca="false">COUNTIF(RawDataTable[Visit Type],V4)</f>
        <v>68</v>
      </c>
    </row>
    <row r="5" customFormat="false" ht="15" hidden="false" customHeight="true" outlineLevel="0" collapsed="false">
      <c r="A5" s="11" t="str">
        <f aca="false">Calculations!A5</f>
        <v>Priya</v>
      </c>
      <c r="B5" s="11" t="n">
        <f aca="false">COUNTIF(RawDataTable[Employee],A5)</f>
        <v>59</v>
      </c>
      <c r="C5" s="11" t="n">
        <f aca="false">SUMPRODUCT((RawDataTable[Employee]=A5)/COUNTIFS(RawDataTable[Employee],RawDataTable[Employee],RawDataTable[Date],RawDataTable[Date]))</f>
        <v>29</v>
      </c>
      <c r="D5" s="12" t="n">
        <f aca="false">IFERROR(B5/C5,0)</f>
        <v>2.03448275862069</v>
      </c>
      <c r="E5" s="15" t="n">
        <f aca="false">SUMIF(RawDataTable[Employee],A5,RawDataTable[Time Spent (mins)])</f>
        <v>3489</v>
      </c>
      <c r="F5" s="13" t="n">
        <f aca="false">E5/60</f>
        <v>58.15</v>
      </c>
      <c r="G5" s="13" t="n">
        <f aca="false">IFERROR(E5/B5,0)</f>
        <v>59.135593220339</v>
      </c>
      <c r="H5" s="14" t="n">
        <f aca="false">IFERROR(COUNTIFS(RawDataTable[Employee],A5,RawDataTable[Status],"Completed")/B5,0)</f>
        <v>1</v>
      </c>
      <c r="I5" s="15" t="n">
        <f aca="false">RANK(B5,$B$3:$B$7)</f>
        <v>4</v>
      </c>
      <c r="K5" s="11" t="str">
        <f aca="false">Calculations!C5</f>
        <v>Dealer</v>
      </c>
      <c r="L5" s="11" t="n">
        <f aca="false">COUNTIF(RawDataTable[Account Type],K5)</f>
        <v>77</v>
      </c>
      <c r="M5" s="11" t="n">
        <f aca="false">SUMIF(RawDataTable[Account Type],K5,RawDataTable[Time Spent (mins)])</f>
        <v>5105</v>
      </c>
      <c r="N5" s="11" t="n">
        <f aca="false">M5/60</f>
        <v>85.0833333333333</v>
      </c>
      <c r="P5" s="11" t="str">
        <f aca="false">Calculations!E5</f>
        <v>Cancelled</v>
      </c>
      <c r="Q5" s="11" t="n">
        <f aca="false">COUNTIF(RawDataTable[Status],P5)</f>
        <v>0</v>
      </c>
      <c r="S5" s="11" t="str">
        <f aca="false">Calculations!G5</f>
        <v>Salem</v>
      </c>
      <c r="T5" s="11" t="n">
        <f aca="false">COUNTIF(RawDataTable[Location],S5)</f>
        <v>106</v>
      </c>
      <c r="V5" s="11" t="str">
        <f aca="false">Calculations!I5</f>
        <v>Collection</v>
      </c>
      <c r="W5" s="11" t="n">
        <f aca="false">COUNTIF(RawDataTable[Visit Type],V5)</f>
        <v>75</v>
      </c>
    </row>
    <row r="6" customFormat="false" ht="15" hidden="false" customHeight="true" outlineLevel="0" collapsed="false">
      <c r="A6" s="11" t="str">
        <f aca="false">Calculations!A6</f>
        <v>John</v>
      </c>
      <c r="B6" s="11" t="n">
        <f aca="false">COUNTIF(RawDataTable[Employee],A6)</f>
        <v>61</v>
      </c>
      <c r="C6" s="11" t="n">
        <f aca="false">SUMPRODUCT((RawDataTable[Employee]=A6)/COUNTIFS(RawDataTable[Employee],RawDataTable[Employee],RawDataTable[Date],RawDataTable[Date]))</f>
        <v>28</v>
      </c>
      <c r="D6" s="12" t="n">
        <f aca="false">IFERROR(B6/C6,0)</f>
        <v>2.17857142857143</v>
      </c>
      <c r="E6" s="15" t="n">
        <f aca="false">SUMIF(RawDataTable[Employee],A6,RawDataTable[Time Spent (mins)])</f>
        <v>4383</v>
      </c>
      <c r="F6" s="13" t="n">
        <f aca="false">E6/60</f>
        <v>73.05</v>
      </c>
      <c r="G6" s="13" t="n">
        <f aca="false">IFERROR(E6/B6,0)</f>
        <v>71.8524590163934</v>
      </c>
      <c r="H6" s="14" t="n">
        <f aca="false">IFERROR(COUNTIFS(RawDataTable[Employee],A6,RawDataTable[Status],"Completed")/B6,0)</f>
        <v>1</v>
      </c>
      <c r="I6" s="15" t="n">
        <f aca="false">RANK(B6,$B$3:$B$7)</f>
        <v>2</v>
      </c>
      <c r="K6" s="11" t="str">
        <f aca="false">Calculations!C6</f>
        <v>Project Site</v>
      </c>
      <c r="L6" s="11" t="n">
        <f aca="false">COUNTIF(RawDataTable[Account Type],K6)</f>
        <v>67</v>
      </c>
      <c r="M6" s="11" t="n">
        <f aca="false">SUMIF(RawDataTable[Account Type],K6,RawDataTable[Time Spent (mins)])</f>
        <v>4652</v>
      </c>
      <c r="N6" s="11" t="n">
        <f aca="false">M6/60</f>
        <v>77.5333333333333</v>
      </c>
      <c r="V6" s="11" t="str">
        <f aca="false">Calculations!I6</f>
        <v>Sales</v>
      </c>
      <c r="W6" s="11" t="n">
        <f aca="false">COUNTIF(RawDataTable[Visit Type],V6)</f>
        <v>80</v>
      </c>
    </row>
    <row r="7" customFormat="false" ht="15" hidden="false" customHeight="true" outlineLevel="0" collapsed="false">
      <c r="A7" s="11" t="str">
        <f aca="false">Calculations!A7</f>
        <v>David</v>
      </c>
      <c r="B7" s="11" t="n">
        <f aca="false">COUNTIF(RawDataTable[Employee],A7)</f>
        <v>54</v>
      </c>
      <c r="C7" s="11" t="n">
        <f aca="false">SUMPRODUCT((RawDataTable[Employee]=A7)/COUNTIFS(RawDataTable[Employee],RawDataTable[Employee],RawDataTable[Date],RawDataTable[Date]))</f>
        <v>26</v>
      </c>
      <c r="D7" s="12" t="n">
        <f aca="false">IFERROR(B7/C7,0)</f>
        <v>2.07692307692308</v>
      </c>
      <c r="E7" s="15" t="n">
        <f aca="false">SUMIF(RawDataTable[Employee],A7,RawDataTable[Time Spent (mins)])</f>
        <v>3651</v>
      </c>
      <c r="F7" s="13" t="n">
        <f aca="false">E7/60</f>
        <v>60.85</v>
      </c>
      <c r="G7" s="13" t="n">
        <f aca="false">IFERROR(E7/B7,0)</f>
        <v>67.6111111111111</v>
      </c>
      <c r="H7" s="14" t="n">
        <f aca="false">IFERROR(COUNTIFS(RawDataTable[Employee],A7,RawDataTable[Status],"Completed")/B7,0)</f>
        <v>1</v>
      </c>
      <c r="I7" s="15" t="n">
        <f aca="false">RANK(B7,$B$3:$B$7)</f>
        <v>5</v>
      </c>
    </row>
    <row r="10" customFormat="false" ht="15" hidden="false" customHeight="true" outlineLevel="0" collapsed="false">
      <c r="A10" s="29" t="s">
        <v>90</v>
      </c>
      <c r="J10" s="29" t="s">
        <v>91</v>
      </c>
    </row>
    <row r="11" customFormat="false" ht="15" hidden="false" customHeight="true" outlineLevel="0" collapsed="false">
      <c r="A11" s="30" t="s">
        <v>23</v>
      </c>
      <c r="B11" s="30" t="s">
        <v>24</v>
      </c>
      <c r="C11" s="30" t="s">
        <v>25</v>
      </c>
      <c r="D11" s="30" t="s">
        <v>26</v>
      </c>
      <c r="E11" s="30" t="s">
        <v>27</v>
      </c>
      <c r="F11" s="30" t="s">
        <v>28</v>
      </c>
      <c r="G11" s="30" t="s">
        <v>29</v>
      </c>
      <c r="H11" s="30" t="s">
        <v>30</v>
      </c>
      <c r="J11" s="30" t="s">
        <v>23</v>
      </c>
      <c r="K11" s="30" t="s">
        <v>88</v>
      </c>
    </row>
    <row r="12" customFormat="false" ht="15" hidden="false" customHeight="true" outlineLevel="0" collapsed="false">
      <c r="A12" s="11" t="str">
        <f aca="false">Calculations!A12</f>
        <v>ABC Agencies</v>
      </c>
      <c r="B12" s="11" t="str">
        <f aca="false">INDEX(RawDataTable[Account Type],MATCH(A12,RawDataTable[Outlet Name],0))</f>
        <v>Distributor</v>
      </c>
      <c r="C12" s="11" t="str">
        <f aca="false">INDEX(RawDataTable[Location],MATCH(A12,RawDataTable[Outlet Name],0))</f>
        <v>Coimbatore</v>
      </c>
      <c r="D12" s="15" t="n">
        <f aca="false">COUNTIF(RawDataTable[Outlet Name],A12)</f>
        <v>69</v>
      </c>
      <c r="E12" s="11" t="n">
        <f aca="false">SUMIF(RawDataTable[Outlet Name],A12,RawDataTable[Time Spent (mins)])</f>
        <v>4945</v>
      </c>
      <c r="F12" s="11" t="n">
        <f aca="false">IFERROR(E12/D12,0)</f>
        <v>71.6666666666667</v>
      </c>
      <c r="G12" s="16" t="n">
        <f aca="false" t="array" ref="G12:G12">MAX(IF(RawDataTable[Outlet Name]=A12,RawDataTable[Date]))</f>
        <v>46203</v>
      </c>
      <c r="H12" s="11" t="str">
        <f aca="false" t="array" ref="H12:H12">INDEX($A$3:$A$7,MATCH(MAX(COUNTIFS(RawDataTable[Employee],$A$3:$A$7,RawDataTable[Outlet Name],A12)),COUNTIFS(RawDataTable[Employee],$A$3:$A$7,RawDataTable[Outlet Name],A12),0))</f>
        <v>Kiran</v>
      </c>
      <c r="J12" s="11" t="str">
        <f aca="false" t="array" ref="J12:J12">INDEX($A$12:$A$16,MATCH(LARGE($D$12:$D$16+ROW($D$12:$D$16)/10000,1),$D$12:$D$16+ROW($D$12:$D$16)/10000,0))</f>
        <v>ABC Agencies</v>
      </c>
      <c r="K12" s="11" t="n">
        <f aca="false">VLOOKUP(J12,$A$12:$D$16,4,FALSE())</f>
        <v>69</v>
      </c>
    </row>
    <row r="13" customFormat="false" ht="15" hidden="false" customHeight="true" outlineLevel="0" collapsed="false">
      <c r="A13" s="11" t="str">
        <f aca="false">Calculations!A13</f>
        <v>Elite Dealers</v>
      </c>
      <c r="B13" s="11" t="str">
        <f aca="false">INDEX(RawDataTable[Account Type],MATCH(A13,RawDataTable[Outlet Name],0))</f>
        <v>Distributor</v>
      </c>
      <c r="C13" s="11" t="str">
        <f aca="false">INDEX(RawDataTable[Location],MATCH(A13,RawDataTable[Outlet Name],0))</f>
        <v>Chennai</v>
      </c>
      <c r="D13" s="15" t="n">
        <f aca="false">COUNTIF(RawDataTable[Outlet Name],A13)</f>
        <v>59</v>
      </c>
      <c r="E13" s="11" t="n">
        <f aca="false">SUMIF(RawDataTable[Outlet Name],A13,RawDataTable[Time Spent (mins)])</f>
        <v>4119</v>
      </c>
      <c r="F13" s="11" t="n">
        <f aca="false">IFERROR(E13/D13,0)</f>
        <v>69.8135593220339</v>
      </c>
      <c r="G13" s="16" t="n">
        <f aca="false" t="array" ref="G13:G13">MAX(IF(RawDataTable[Outlet Name]=A13,RawDataTable[Date]))</f>
        <v>46203</v>
      </c>
      <c r="H13" s="11" t="str">
        <f aca="false" t="array" ref="H13:H13">INDEX($A$3:$A$7,MATCH(MAX(COUNTIFS(RawDataTable[Employee],$A$3:$A$7,RawDataTable[Outlet Name],A13)),COUNTIFS(RawDataTable[Employee],$A$3:$A$7,RawDataTable[Outlet Name],A13),0))</f>
        <v>John</v>
      </c>
      <c r="J13" s="11" t="str">
        <f aca="false" t="array" ref="J13:J13">INDEX($A$12:$A$16,MATCH(LARGE($D$12:$D$16+ROW($D$12:$D$16)/10000,2),$D$12:$D$16+ROW($D$12:$D$16)/10000,0))</f>
        <v>Prime Traders</v>
      </c>
      <c r="K13" s="11" t="n">
        <f aca="false">VLOOKUP(J13,$A$12:$D$16,4,FALSE())</f>
        <v>63</v>
      </c>
    </row>
    <row r="14" customFormat="false" ht="15" hidden="false" customHeight="true" outlineLevel="0" collapsed="false">
      <c r="A14" s="11" t="str">
        <f aca="false">Calculations!A14</f>
        <v>Metro Site</v>
      </c>
      <c r="B14" s="11" t="str">
        <f aca="false">INDEX(RawDataTable[Account Type],MATCH(A14,RawDataTable[Outlet Name],0))</f>
        <v>Distributor</v>
      </c>
      <c r="C14" s="11" t="str">
        <f aca="false">INDEX(RawDataTable[Location],MATCH(A14,RawDataTable[Outlet Name],0))</f>
        <v>Chennai</v>
      </c>
      <c r="D14" s="15" t="n">
        <f aca="false">COUNTIF(RawDataTable[Outlet Name],A14)</f>
        <v>53</v>
      </c>
      <c r="E14" s="11" t="n">
        <f aca="false">SUMIF(RawDataTable[Outlet Name],A14,RawDataTable[Time Spent (mins)])</f>
        <v>3291</v>
      </c>
      <c r="F14" s="11" t="n">
        <f aca="false">IFERROR(E14/D14,0)</f>
        <v>62.0943396226415</v>
      </c>
      <c r="G14" s="16" t="n">
        <f aca="false" t="array" ref="G14:G14">MAX(IF(RawDataTable[Outlet Name]=A14,RawDataTable[Date]))</f>
        <v>46203</v>
      </c>
      <c r="H14" s="11" t="str">
        <f aca="false" t="array" ref="H14:H14">INDEX($A$3:$A$7,MATCH(MAX(COUNTIFS(RawDataTable[Employee],$A$3:$A$7,RawDataTable[Outlet Name],A14)),COUNTIFS(RawDataTable[Employee],$A$3:$A$7,RawDataTable[Outlet Name],A14),0))</f>
        <v>Priya</v>
      </c>
      <c r="J14" s="11" t="str">
        <f aca="false" t="array" ref="J14:J14">INDEX($A$12:$A$16,MATCH(LARGE($D$12:$D$16+ROW($D$12:$D$16)/10000,3),$D$12:$D$16+ROW($D$12:$D$16)/10000,0))</f>
        <v>Elite Dealers</v>
      </c>
      <c r="K14" s="11" t="n">
        <f aca="false">VLOOKUP(J14,$A$12:$D$16,4,FALSE())</f>
        <v>59</v>
      </c>
    </row>
    <row r="15" customFormat="false" ht="15" hidden="false" customHeight="true" outlineLevel="0" collapsed="false">
      <c r="A15" s="11" t="str">
        <f aca="false">Calculations!A15</f>
        <v>Prime Traders</v>
      </c>
      <c r="B15" s="11" t="str">
        <f aca="false">INDEX(RawDataTable[Account Type],MATCH(A15,RawDataTable[Outlet Name],0))</f>
        <v>Distributor</v>
      </c>
      <c r="C15" s="11" t="str">
        <f aca="false">INDEX(RawDataTable[Location],MATCH(A15,RawDataTable[Outlet Name],0))</f>
        <v>Chennai</v>
      </c>
      <c r="D15" s="15" t="n">
        <f aca="false">COUNTIF(RawDataTable[Outlet Name],A15)</f>
        <v>63</v>
      </c>
      <c r="E15" s="11" t="n">
        <f aca="false">SUMIF(RawDataTable[Outlet Name],A15,RawDataTable[Time Spent (mins)])</f>
        <v>4222</v>
      </c>
      <c r="F15" s="11" t="n">
        <f aca="false">IFERROR(E15/D15,0)</f>
        <v>67.015873015873</v>
      </c>
      <c r="G15" s="16" t="n">
        <f aca="false" t="array" ref="G15:G15">MAX(IF(RawDataTable[Outlet Name]=A15,RawDataTable[Date]))</f>
        <v>46203</v>
      </c>
      <c r="H15" s="11" t="str">
        <f aca="false" t="array" ref="H15:H15">INDEX($A$3:$A$7,MATCH(MAX(COUNTIFS(RawDataTable[Employee],$A$3:$A$7,RawDataTable[Outlet Name],A15)),COUNTIFS(RawDataTable[Employee],$A$3:$A$7,RawDataTable[Outlet Name],A15),0))</f>
        <v>Priya</v>
      </c>
      <c r="J15" s="11" t="str">
        <f aca="false" t="array" ref="J15:J15">INDEX($A$12:$A$16,MATCH(LARGE($D$12:$D$16+ROW($D$12:$D$16)/10000,4),$D$12:$D$16+ROW($D$12:$D$16)/10000,0))</f>
        <v>XYZ Motors</v>
      </c>
      <c r="K15" s="11" t="n">
        <f aca="false">VLOOKUP(J15,$A$12:$D$16,4,FALSE())</f>
        <v>56</v>
      </c>
    </row>
    <row r="16" customFormat="false" ht="15" hidden="false" customHeight="true" outlineLevel="0" collapsed="false">
      <c r="A16" s="11" t="str">
        <f aca="false">Calculations!A16</f>
        <v>XYZ Motors</v>
      </c>
      <c r="B16" s="11" t="str">
        <f aca="false">INDEX(RawDataTable[Account Type],MATCH(A16,RawDataTable[Outlet Name],0))</f>
        <v>OEM</v>
      </c>
      <c r="C16" s="11" t="str">
        <f aca="false">INDEX(RawDataTable[Location],MATCH(A16,RawDataTable[Outlet Name],0))</f>
        <v>Coimbatore</v>
      </c>
      <c r="D16" s="15" t="n">
        <f aca="false">COUNTIF(RawDataTable[Outlet Name],A16)</f>
        <v>56</v>
      </c>
      <c r="E16" s="11" t="n">
        <f aca="false">SUMIF(RawDataTable[Outlet Name],A16,RawDataTable[Time Spent (mins)])</f>
        <v>4087</v>
      </c>
      <c r="F16" s="11" t="n">
        <f aca="false">IFERROR(E16/D16,0)</f>
        <v>72.9821428571429</v>
      </c>
      <c r="G16" s="16" t="n">
        <f aca="false" t="array" ref="G16:G16">MAX(IF(RawDataTable[Outlet Name]=A16,RawDataTable[Date]))</f>
        <v>46203</v>
      </c>
      <c r="H16" s="11" t="str">
        <f aca="false" t="array" ref="H16:H16">INDEX($A$3:$A$7,MATCH(MAX(COUNTIFS(RawDataTable[Employee],$A$3:$A$7,RawDataTable[Outlet Name],A16)),COUNTIFS(RawDataTable[Employee],$A$3:$A$7,RawDataTable[Outlet Name],A16),0))</f>
        <v>Priya</v>
      </c>
      <c r="J16" s="11" t="str">
        <f aca="false" t="array" ref="J16:J16">INDEX($A$12:$A$16,MATCH(LARGE($D$12:$D$16+ROW($D$12:$D$16)/10000,5),$D$12:$D$16+ROW($D$12:$D$16)/10000,0))</f>
        <v>Metro Site</v>
      </c>
      <c r="K16" s="11" t="n">
        <f aca="false">VLOOKUP(J16,$A$12:$D$16,4,FALSE())</f>
        <v>53</v>
      </c>
    </row>
    <row r="20" customFormat="false" ht="15" hidden="false" customHeight="true" outlineLevel="0" collapsed="false">
      <c r="A20" s="29" t="s">
        <v>92</v>
      </c>
      <c r="E20" s="29" t="s">
        <v>93</v>
      </c>
    </row>
    <row r="21" customFormat="false" ht="15" hidden="false" customHeight="true" outlineLevel="0" collapsed="false">
      <c r="A21" s="30" t="s">
        <v>41</v>
      </c>
      <c r="B21" s="30" t="s">
        <v>88</v>
      </c>
      <c r="C21" s="30" t="s">
        <v>94</v>
      </c>
      <c r="E21" s="30" t="s">
        <v>32</v>
      </c>
      <c r="F21" s="30" t="s">
        <v>16</v>
      </c>
      <c r="G21" s="30" t="s">
        <v>3</v>
      </c>
      <c r="H21" s="30" t="s">
        <v>33</v>
      </c>
      <c r="I21" s="30" t="s">
        <v>34</v>
      </c>
      <c r="J21" s="30" t="s">
        <v>35</v>
      </c>
      <c r="K21" s="30" t="s">
        <v>36</v>
      </c>
    </row>
    <row r="22" customFormat="false" ht="15" hidden="false" customHeight="true" outlineLevel="0" collapsed="false">
      <c r="A22" s="31" t="n">
        <f aca="false">IF(MIN(RawDataTable[Date])+0&lt;=MAX(RawDataTable[Date]),MIN(RawDataTable[Date])+0,"")</f>
        <v>46174</v>
      </c>
      <c r="B22" s="11" t="n">
        <f aca="false">IF(A22="","",COUNTIF(RawDataTable[Date],A22))</f>
        <v>10</v>
      </c>
      <c r="C22" s="11" t="n">
        <f aca="false">IF(A22="","",SUMIF(RawDataTable[Date],A22,RawDataTable[Time Spent (mins)])/60)</f>
        <v>13.15</v>
      </c>
      <c r="E22" s="17" t="n">
        <f aca="false">EDATE(DATE(YEAR(MIN(RawDataTable[Date])),MONTH(MIN(RawDataTable[Date])),1),0)</f>
        <v>46174</v>
      </c>
      <c r="F22" s="11" t="n">
        <f aca="false">IF(SUMPRODUCT((RawDataTable[MonthKey]=E22)*1)=0,0,SUMPRODUCT(((RawDataTable[MonthKey]=E22))/COUNTIFS(RawDataTable[Date],RawDataTable[Date],RawDataTable[MonthKey],RawDataTable[MonthKey])))</f>
        <v>30</v>
      </c>
      <c r="G22" s="11" t="n">
        <f aca="false">COUNTIFS(RawDataTable[MonthKey],E22)</f>
        <v>300</v>
      </c>
      <c r="H22" s="11" t="n">
        <f aca="false">COUNTIFS(RawDataTable[MonthKey],E22,RawDataTable[Status],"Completed")</f>
        <v>300</v>
      </c>
      <c r="I22" s="11" t="n">
        <f aca="false">COUNTIFS(RawDataTable[MonthKey],E22,RawDataTable[Status],"Pending")</f>
        <v>0</v>
      </c>
      <c r="J22" s="11" t="n">
        <f aca="false">SUMIFS(RawDataTable[Time Spent (mins)],RawDataTable[MonthKey],E22)/60</f>
        <v>344.4</v>
      </c>
      <c r="K22" s="11" t="n">
        <f aca="false">IFERROR(J22/F22,0)</f>
        <v>11.48</v>
      </c>
    </row>
    <row r="23" customFormat="false" ht="15" hidden="false" customHeight="true" outlineLevel="0" collapsed="false">
      <c r="A23" s="31" t="n">
        <f aca="false">IF(MIN(RawDataTable[Date])+1&lt;=MAX(RawDataTable[Date]),MIN(RawDataTable[Date])+1,"")</f>
        <v>46175</v>
      </c>
      <c r="B23" s="11" t="n">
        <f aca="false">IF(A23="","",COUNTIF(RawDataTable[Date],A23))</f>
        <v>10</v>
      </c>
      <c r="C23" s="11" t="n">
        <f aca="false">IF(A23="","",SUMIF(RawDataTable[Date],A23,RawDataTable[Time Spent (mins)])/60)</f>
        <v>9.38333333333333</v>
      </c>
      <c r="E23" s="17" t="n">
        <f aca="false">EDATE(DATE(YEAR(MIN(RawDataTable[Date])),MONTH(MIN(RawDataTable[Date])),1),1)</f>
        <v>46204</v>
      </c>
      <c r="F23" s="11" t="n">
        <f aca="false">IF(SUMPRODUCT((RawDataTable[MonthKey]=E23)*1)=0,0,SUMPRODUCT(((RawDataTable[MonthKey]=E23))/COUNTIFS(RawDataTable[Date],RawDataTable[Date],RawDataTable[MonthKey],RawDataTable[MonthKey])))</f>
        <v>0</v>
      </c>
      <c r="G23" s="11" t="n">
        <f aca="false">COUNTIFS(RawDataTable[MonthKey],E23)</f>
        <v>0</v>
      </c>
      <c r="H23" s="11" t="n">
        <f aca="false">COUNTIFS(RawDataTable[MonthKey],E23,RawDataTable[Status],"Completed")</f>
        <v>0</v>
      </c>
      <c r="I23" s="11" t="n">
        <f aca="false">COUNTIFS(RawDataTable[MonthKey],E23,RawDataTable[Status],"Pending")</f>
        <v>0</v>
      </c>
      <c r="J23" s="11" t="n">
        <f aca="false">SUMIFS(RawDataTable[Time Spent (mins)],RawDataTable[MonthKey],E23)/60</f>
        <v>0</v>
      </c>
      <c r="K23" s="11" t="n">
        <f aca="false">IFERROR(J23/F23,0)</f>
        <v>0</v>
      </c>
    </row>
    <row r="24" customFormat="false" ht="15" hidden="false" customHeight="true" outlineLevel="0" collapsed="false">
      <c r="A24" s="31" t="n">
        <f aca="false">IF(MIN(RawDataTable[Date])+2&lt;=MAX(RawDataTable[Date]),MIN(RawDataTable[Date])+2,"")</f>
        <v>46176</v>
      </c>
      <c r="B24" s="11" t="n">
        <f aca="false">IF(A24="","",COUNTIF(RawDataTable[Date],A24))</f>
        <v>10</v>
      </c>
      <c r="C24" s="11" t="n">
        <f aca="false">IF(A24="","",SUMIF(RawDataTable[Date],A24,RawDataTable[Time Spent (mins)])/60)</f>
        <v>12.5166666666667</v>
      </c>
      <c r="E24" s="17" t="n">
        <f aca="false">EDATE(DATE(YEAR(MIN(RawDataTable[Date])),MONTH(MIN(RawDataTable[Date])),1),2)</f>
        <v>46235</v>
      </c>
      <c r="F24" s="11" t="n">
        <f aca="false">IF(SUMPRODUCT((RawDataTable[MonthKey]=E24)*1)=0,0,SUMPRODUCT(((RawDataTable[MonthKey]=E24))/COUNTIFS(RawDataTable[Date],RawDataTable[Date],RawDataTable[MonthKey],RawDataTable[MonthKey])))</f>
        <v>0</v>
      </c>
      <c r="G24" s="11" t="n">
        <f aca="false">COUNTIFS(RawDataTable[MonthKey],E24)</f>
        <v>0</v>
      </c>
      <c r="H24" s="11" t="n">
        <f aca="false">COUNTIFS(RawDataTable[MonthKey],E24,RawDataTable[Status],"Completed")</f>
        <v>0</v>
      </c>
      <c r="I24" s="11" t="n">
        <f aca="false">COUNTIFS(RawDataTable[MonthKey],E24,RawDataTable[Status],"Pending")</f>
        <v>0</v>
      </c>
      <c r="J24" s="11" t="n">
        <f aca="false">SUMIFS(RawDataTable[Time Spent (mins)],RawDataTable[MonthKey],E24)/60</f>
        <v>0</v>
      </c>
      <c r="K24" s="11" t="n">
        <f aca="false">IFERROR(J24/F24,0)</f>
        <v>0</v>
      </c>
    </row>
    <row r="25" customFormat="false" ht="15" hidden="false" customHeight="true" outlineLevel="0" collapsed="false">
      <c r="A25" s="31" t="n">
        <f aca="false">IF(MIN(RawDataTable[Date])+3&lt;=MAX(RawDataTable[Date]),MIN(RawDataTable[Date])+3,"")</f>
        <v>46177</v>
      </c>
      <c r="B25" s="11" t="n">
        <f aca="false">IF(A25="","",COUNTIF(RawDataTable[Date],A25))</f>
        <v>10</v>
      </c>
      <c r="C25" s="11" t="n">
        <f aca="false">IF(A25="","",SUMIF(RawDataTable[Date],A25,RawDataTable[Time Spent (mins)])/60)</f>
        <v>11.75</v>
      </c>
      <c r="E25" s="17" t="n">
        <f aca="false">EDATE(DATE(YEAR(MIN(RawDataTable[Date])),MONTH(MIN(RawDataTable[Date])),1),3)</f>
        <v>46266</v>
      </c>
      <c r="F25" s="11" t="n">
        <f aca="false">IF(SUMPRODUCT((RawDataTable[MonthKey]=E25)*1)=0,0,SUMPRODUCT(((RawDataTable[MonthKey]=E25))/COUNTIFS(RawDataTable[Date],RawDataTable[Date],RawDataTable[MonthKey],RawDataTable[MonthKey])))</f>
        <v>0</v>
      </c>
      <c r="G25" s="11" t="n">
        <f aca="false">COUNTIFS(RawDataTable[MonthKey],E25)</f>
        <v>0</v>
      </c>
      <c r="H25" s="11" t="n">
        <f aca="false">COUNTIFS(RawDataTable[MonthKey],E25,RawDataTable[Status],"Completed")</f>
        <v>0</v>
      </c>
      <c r="I25" s="11" t="n">
        <f aca="false">COUNTIFS(RawDataTable[MonthKey],E25,RawDataTable[Status],"Pending")</f>
        <v>0</v>
      </c>
      <c r="J25" s="11" t="n">
        <f aca="false">SUMIFS(RawDataTable[Time Spent (mins)],RawDataTable[MonthKey],E25)/60</f>
        <v>0</v>
      </c>
      <c r="K25" s="11" t="n">
        <f aca="false">IFERROR(J25/F25,0)</f>
        <v>0</v>
      </c>
    </row>
    <row r="26" customFormat="false" ht="15" hidden="false" customHeight="true" outlineLevel="0" collapsed="false">
      <c r="A26" s="31" t="n">
        <f aca="false">IF(MIN(RawDataTable[Date])+4&lt;=MAX(RawDataTable[Date]),MIN(RawDataTable[Date])+4,"")</f>
        <v>46178</v>
      </c>
      <c r="B26" s="11" t="n">
        <f aca="false">IF(A26="","",COUNTIF(RawDataTable[Date],A26))</f>
        <v>10</v>
      </c>
      <c r="C26" s="11" t="n">
        <f aca="false">IF(A26="","",SUMIF(RawDataTable[Date],A26,RawDataTable[Time Spent (mins)])/60)</f>
        <v>11.5166666666667</v>
      </c>
      <c r="E26" s="17" t="n">
        <f aca="false">EDATE(DATE(YEAR(MIN(RawDataTable[Date])),MONTH(MIN(RawDataTable[Date])),1),4)</f>
        <v>46296</v>
      </c>
      <c r="F26" s="11" t="n">
        <f aca="false">IF(SUMPRODUCT((RawDataTable[MonthKey]=E26)*1)=0,0,SUMPRODUCT(((RawDataTable[MonthKey]=E26))/COUNTIFS(RawDataTable[Date],RawDataTable[Date],RawDataTable[MonthKey],RawDataTable[MonthKey])))</f>
        <v>0</v>
      </c>
      <c r="G26" s="11" t="n">
        <f aca="false">COUNTIFS(RawDataTable[MonthKey],E26)</f>
        <v>0</v>
      </c>
      <c r="H26" s="11" t="n">
        <f aca="false">COUNTIFS(RawDataTable[MonthKey],E26,RawDataTable[Status],"Completed")</f>
        <v>0</v>
      </c>
      <c r="I26" s="11" t="n">
        <f aca="false">COUNTIFS(RawDataTable[MonthKey],E26,RawDataTable[Status],"Pending")</f>
        <v>0</v>
      </c>
      <c r="J26" s="11" t="n">
        <f aca="false">SUMIFS(RawDataTable[Time Spent (mins)],RawDataTable[MonthKey],E26)/60</f>
        <v>0</v>
      </c>
      <c r="K26" s="11" t="n">
        <f aca="false">IFERROR(J26/F26,0)</f>
        <v>0</v>
      </c>
    </row>
    <row r="27" customFormat="false" ht="15" hidden="false" customHeight="true" outlineLevel="0" collapsed="false">
      <c r="A27" s="31" t="n">
        <f aca="false">IF(MIN(RawDataTable[Date])+5&lt;=MAX(RawDataTable[Date]),MIN(RawDataTable[Date])+5,"")</f>
        <v>46179</v>
      </c>
      <c r="B27" s="11" t="n">
        <f aca="false">IF(A27="","",COUNTIF(RawDataTable[Date],A27))</f>
        <v>10</v>
      </c>
      <c r="C27" s="11" t="n">
        <f aca="false">IF(A27="","",SUMIF(RawDataTable[Date],A27,RawDataTable[Time Spent (mins)])/60)</f>
        <v>12</v>
      </c>
      <c r="E27" s="17" t="n">
        <f aca="false">EDATE(DATE(YEAR(MIN(RawDataTable[Date])),MONTH(MIN(RawDataTable[Date])),1),5)</f>
        <v>46327</v>
      </c>
      <c r="F27" s="11" t="n">
        <f aca="false">IF(SUMPRODUCT((RawDataTable[MonthKey]=E27)*1)=0,0,SUMPRODUCT(((RawDataTable[MonthKey]=E27))/COUNTIFS(RawDataTable[Date],RawDataTable[Date],RawDataTable[MonthKey],RawDataTable[MonthKey])))</f>
        <v>0</v>
      </c>
      <c r="G27" s="11" t="n">
        <f aca="false">COUNTIFS(RawDataTable[MonthKey],E27)</f>
        <v>0</v>
      </c>
      <c r="H27" s="11" t="n">
        <f aca="false">COUNTIFS(RawDataTable[MonthKey],E27,RawDataTable[Status],"Completed")</f>
        <v>0</v>
      </c>
      <c r="I27" s="11" t="n">
        <f aca="false">COUNTIFS(RawDataTable[MonthKey],E27,RawDataTable[Status],"Pending")</f>
        <v>0</v>
      </c>
      <c r="J27" s="11" t="n">
        <f aca="false">SUMIFS(RawDataTable[Time Spent (mins)],RawDataTable[MonthKey],E27)/60</f>
        <v>0</v>
      </c>
      <c r="K27" s="11" t="n">
        <f aca="false">IFERROR(J27/F27,0)</f>
        <v>0</v>
      </c>
    </row>
    <row r="28" customFormat="false" ht="15" hidden="false" customHeight="true" outlineLevel="0" collapsed="false">
      <c r="A28" s="31" t="n">
        <f aca="false">IF(MIN(RawDataTable[Date])+6&lt;=MAX(RawDataTable[Date]),MIN(RawDataTable[Date])+6,"")</f>
        <v>46180</v>
      </c>
      <c r="B28" s="11" t="n">
        <f aca="false">IF(A28="","",COUNTIF(RawDataTable[Date],A28))</f>
        <v>10</v>
      </c>
      <c r="C28" s="11" t="n">
        <f aca="false">IF(A28="","",SUMIF(RawDataTable[Date],A28,RawDataTable[Time Spent (mins)])/60)</f>
        <v>12.9</v>
      </c>
      <c r="E28" s="17" t="n">
        <f aca="false">EDATE(DATE(YEAR(MIN(RawDataTable[Date])),MONTH(MIN(RawDataTable[Date])),1),6)</f>
        <v>46357</v>
      </c>
      <c r="F28" s="11" t="n">
        <f aca="false">IF(SUMPRODUCT((RawDataTable[MonthKey]=E28)*1)=0,0,SUMPRODUCT(((RawDataTable[MonthKey]=E28))/COUNTIFS(RawDataTable[Date],RawDataTable[Date],RawDataTable[MonthKey],RawDataTable[MonthKey])))</f>
        <v>0</v>
      </c>
      <c r="G28" s="11" t="n">
        <f aca="false">COUNTIFS(RawDataTable[MonthKey],E28)</f>
        <v>0</v>
      </c>
      <c r="H28" s="11" t="n">
        <f aca="false">COUNTIFS(RawDataTable[MonthKey],E28,RawDataTable[Status],"Completed")</f>
        <v>0</v>
      </c>
      <c r="I28" s="11" t="n">
        <f aca="false">COUNTIFS(RawDataTable[MonthKey],E28,RawDataTable[Status],"Pending")</f>
        <v>0</v>
      </c>
      <c r="J28" s="11" t="n">
        <f aca="false">SUMIFS(RawDataTable[Time Spent (mins)],RawDataTable[MonthKey],E28)/60</f>
        <v>0</v>
      </c>
      <c r="K28" s="11" t="n">
        <f aca="false">IFERROR(J28/F28,0)</f>
        <v>0</v>
      </c>
    </row>
    <row r="29" customFormat="false" ht="15" hidden="false" customHeight="true" outlineLevel="0" collapsed="false">
      <c r="A29" s="31" t="n">
        <f aca="false">IF(MIN(RawDataTable[Date])+7&lt;=MAX(RawDataTable[Date]),MIN(RawDataTable[Date])+7,"")</f>
        <v>46181</v>
      </c>
      <c r="B29" s="11" t="n">
        <f aca="false">IF(A29="","",COUNTIF(RawDataTable[Date],A29))</f>
        <v>10</v>
      </c>
      <c r="C29" s="11" t="n">
        <f aca="false">IF(A29="","",SUMIF(RawDataTable[Date],A29,RawDataTable[Time Spent (mins)])/60)</f>
        <v>11.25</v>
      </c>
      <c r="E29" s="17" t="n">
        <f aca="false">EDATE(DATE(YEAR(MIN(RawDataTable[Date])),MONTH(MIN(RawDataTable[Date])),1),7)</f>
        <v>46388</v>
      </c>
      <c r="F29" s="11" t="n">
        <f aca="false">IF(SUMPRODUCT((RawDataTable[MonthKey]=E29)*1)=0,0,SUMPRODUCT(((RawDataTable[MonthKey]=E29))/COUNTIFS(RawDataTable[Date],RawDataTable[Date],RawDataTable[MonthKey],RawDataTable[MonthKey])))</f>
        <v>0</v>
      </c>
      <c r="G29" s="11" t="n">
        <f aca="false">COUNTIFS(RawDataTable[MonthKey],E29)</f>
        <v>0</v>
      </c>
      <c r="H29" s="11" t="n">
        <f aca="false">COUNTIFS(RawDataTable[MonthKey],E29,RawDataTable[Status],"Completed")</f>
        <v>0</v>
      </c>
      <c r="I29" s="11" t="n">
        <f aca="false">COUNTIFS(RawDataTable[MonthKey],E29,RawDataTable[Status],"Pending")</f>
        <v>0</v>
      </c>
      <c r="J29" s="11" t="n">
        <f aca="false">SUMIFS(RawDataTable[Time Spent (mins)],RawDataTable[MonthKey],E29)/60</f>
        <v>0</v>
      </c>
      <c r="K29" s="11" t="n">
        <f aca="false">IFERROR(J29/F29,0)</f>
        <v>0</v>
      </c>
    </row>
    <row r="30" customFormat="false" ht="15" hidden="false" customHeight="true" outlineLevel="0" collapsed="false">
      <c r="A30" s="31" t="n">
        <f aca="false">IF(MIN(RawDataTable[Date])+8&lt;=MAX(RawDataTable[Date]),MIN(RawDataTable[Date])+8,"")</f>
        <v>46182</v>
      </c>
      <c r="B30" s="11" t="n">
        <f aca="false">IF(A30="","",COUNTIF(RawDataTable[Date],A30))</f>
        <v>10</v>
      </c>
      <c r="C30" s="11" t="n">
        <f aca="false">IF(A30="","",SUMIF(RawDataTable[Date],A30,RawDataTable[Time Spent (mins)])/60)</f>
        <v>12.5666666666667</v>
      </c>
      <c r="E30" s="17" t="n">
        <f aca="false">EDATE(DATE(YEAR(MIN(RawDataTable[Date])),MONTH(MIN(RawDataTable[Date])),1),8)</f>
        <v>46419</v>
      </c>
      <c r="F30" s="11" t="n">
        <f aca="false">IF(SUMPRODUCT((RawDataTable[MonthKey]=E30)*1)=0,0,SUMPRODUCT(((RawDataTable[MonthKey]=E30))/COUNTIFS(RawDataTable[Date],RawDataTable[Date],RawDataTable[MonthKey],RawDataTable[MonthKey])))</f>
        <v>0</v>
      </c>
      <c r="G30" s="11" t="n">
        <f aca="false">COUNTIFS(RawDataTable[MonthKey],E30)</f>
        <v>0</v>
      </c>
      <c r="H30" s="11" t="n">
        <f aca="false">COUNTIFS(RawDataTable[MonthKey],E30,RawDataTable[Status],"Completed")</f>
        <v>0</v>
      </c>
      <c r="I30" s="11" t="n">
        <f aca="false">COUNTIFS(RawDataTable[MonthKey],E30,RawDataTable[Status],"Pending")</f>
        <v>0</v>
      </c>
      <c r="J30" s="11" t="n">
        <f aca="false">SUMIFS(RawDataTable[Time Spent (mins)],RawDataTable[MonthKey],E30)/60</f>
        <v>0</v>
      </c>
      <c r="K30" s="11" t="n">
        <f aca="false">IFERROR(J30/F30,0)</f>
        <v>0</v>
      </c>
    </row>
    <row r="31" customFormat="false" ht="15" hidden="false" customHeight="true" outlineLevel="0" collapsed="false">
      <c r="A31" s="31" t="n">
        <f aca="false">IF(MIN(RawDataTable[Date])+9&lt;=MAX(RawDataTable[Date]),MIN(RawDataTable[Date])+9,"")</f>
        <v>46183</v>
      </c>
      <c r="B31" s="11" t="n">
        <f aca="false">IF(A31="","",COUNTIF(RawDataTable[Date],A31))</f>
        <v>10</v>
      </c>
      <c r="C31" s="11" t="n">
        <f aca="false">IF(A31="","",SUMIF(RawDataTable[Date],A31,RawDataTable[Time Spent (mins)])/60)</f>
        <v>11.8166666666667</v>
      </c>
      <c r="E31" s="17" t="n">
        <f aca="false">EDATE(DATE(YEAR(MIN(RawDataTable[Date])),MONTH(MIN(RawDataTable[Date])),1),9)</f>
        <v>46447</v>
      </c>
      <c r="F31" s="11" t="n">
        <f aca="false">IF(SUMPRODUCT((RawDataTable[MonthKey]=E31)*1)=0,0,SUMPRODUCT(((RawDataTable[MonthKey]=E31))/COUNTIFS(RawDataTable[Date],RawDataTable[Date],RawDataTable[MonthKey],RawDataTable[MonthKey])))</f>
        <v>0</v>
      </c>
      <c r="G31" s="11" t="n">
        <f aca="false">COUNTIFS(RawDataTable[MonthKey],E31)</f>
        <v>0</v>
      </c>
      <c r="H31" s="11" t="n">
        <f aca="false">COUNTIFS(RawDataTable[MonthKey],E31,RawDataTable[Status],"Completed")</f>
        <v>0</v>
      </c>
      <c r="I31" s="11" t="n">
        <f aca="false">COUNTIFS(RawDataTable[MonthKey],E31,RawDataTable[Status],"Pending")</f>
        <v>0</v>
      </c>
      <c r="J31" s="11" t="n">
        <f aca="false">SUMIFS(RawDataTable[Time Spent (mins)],RawDataTable[MonthKey],E31)/60</f>
        <v>0</v>
      </c>
      <c r="K31" s="11" t="n">
        <f aca="false">IFERROR(J31/F31,0)</f>
        <v>0</v>
      </c>
    </row>
    <row r="32" customFormat="false" ht="15" hidden="false" customHeight="true" outlineLevel="0" collapsed="false">
      <c r="A32" s="31" t="n">
        <f aca="false">IF(MIN(RawDataTable[Date])+10&lt;=MAX(RawDataTable[Date]),MIN(RawDataTable[Date])+10,"")</f>
        <v>46184</v>
      </c>
      <c r="B32" s="11" t="n">
        <f aca="false">IF(A32="","",COUNTIF(RawDataTable[Date],A32))</f>
        <v>10</v>
      </c>
      <c r="C32" s="11" t="n">
        <f aca="false">IF(A32="","",SUMIF(RawDataTable[Date],A32,RawDataTable[Time Spent (mins)])/60)</f>
        <v>10.1333333333333</v>
      </c>
      <c r="E32" s="17" t="n">
        <f aca="false">EDATE(DATE(YEAR(MIN(RawDataTable[Date])),MONTH(MIN(RawDataTable[Date])),1),10)</f>
        <v>46478</v>
      </c>
      <c r="F32" s="11" t="n">
        <f aca="false">IF(SUMPRODUCT((RawDataTable[MonthKey]=E32)*1)=0,0,SUMPRODUCT(((RawDataTable[MonthKey]=E32))/COUNTIFS(RawDataTable[Date],RawDataTable[Date],RawDataTable[MonthKey],RawDataTable[MonthKey])))</f>
        <v>0</v>
      </c>
      <c r="G32" s="11" t="n">
        <f aca="false">COUNTIFS(RawDataTable[MonthKey],E32)</f>
        <v>0</v>
      </c>
      <c r="H32" s="11" t="n">
        <f aca="false">COUNTIFS(RawDataTable[MonthKey],E32,RawDataTable[Status],"Completed")</f>
        <v>0</v>
      </c>
      <c r="I32" s="11" t="n">
        <f aca="false">COUNTIFS(RawDataTable[MonthKey],E32,RawDataTable[Status],"Pending")</f>
        <v>0</v>
      </c>
      <c r="J32" s="11" t="n">
        <f aca="false">SUMIFS(RawDataTable[Time Spent (mins)],RawDataTable[MonthKey],E32)/60</f>
        <v>0</v>
      </c>
      <c r="K32" s="11" t="n">
        <f aca="false">IFERROR(J32/F32,0)</f>
        <v>0</v>
      </c>
    </row>
    <row r="33" customFormat="false" ht="15" hidden="false" customHeight="true" outlineLevel="0" collapsed="false">
      <c r="A33" s="31" t="n">
        <f aca="false">IF(MIN(RawDataTable[Date])+11&lt;=MAX(RawDataTable[Date]),MIN(RawDataTable[Date])+11,"")</f>
        <v>46185</v>
      </c>
      <c r="B33" s="11" t="n">
        <f aca="false">IF(A33="","",COUNTIF(RawDataTable[Date],A33))</f>
        <v>10</v>
      </c>
      <c r="C33" s="11" t="n">
        <f aca="false">IF(A33="","",SUMIF(RawDataTable[Date],A33,RawDataTable[Time Spent (mins)])/60)</f>
        <v>11.9</v>
      </c>
      <c r="E33" s="17" t="n">
        <f aca="false">EDATE(DATE(YEAR(MIN(RawDataTable[Date])),MONTH(MIN(RawDataTable[Date])),1),11)</f>
        <v>46508</v>
      </c>
      <c r="F33" s="11" t="n">
        <f aca="false">IF(SUMPRODUCT((RawDataTable[MonthKey]=E33)*1)=0,0,SUMPRODUCT(((RawDataTable[MonthKey]=E33))/COUNTIFS(RawDataTable[Date],RawDataTable[Date],RawDataTable[MonthKey],RawDataTable[MonthKey])))</f>
        <v>0</v>
      </c>
      <c r="G33" s="11" t="n">
        <f aca="false">COUNTIFS(RawDataTable[MonthKey],E33)</f>
        <v>0</v>
      </c>
      <c r="H33" s="11" t="n">
        <f aca="false">COUNTIFS(RawDataTable[MonthKey],E33,RawDataTable[Status],"Completed")</f>
        <v>0</v>
      </c>
      <c r="I33" s="11" t="n">
        <f aca="false">COUNTIFS(RawDataTable[MonthKey],E33,RawDataTable[Status],"Pending")</f>
        <v>0</v>
      </c>
      <c r="J33" s="11" t="n">
        <f aca="false">SUMIFS(RawDataTable[Time Spent (mins)],RawDataTable[MonthKey],E33)/60</f>
        <v>0</v>
      </c>
      <c r="K33" s="11" t="n">
        <f aca="false">IFERROR(J33/F33,0)</f>
        <v>0</v>
      </c>
    </row>
    <row r="34" customFormat="false" ht="15" hidden="false" customHeight="true" outlineLevel="0" collapsed="false">
      <c r="A34" s="31" t="n">
        <f aca="false">IF(MIN(RawDataTable[Date])+12&lt;=MAX(RawDataTable[Date]),MIN(RawDataTable[Date])+12,"")</f>
        <v>46186</v>
      </c>
      <c r="B34" s="11" t="n">
        <f aca="false">IF(A34="","",COUNTIF(RawDataTable[Date],A34))</f>
        <v>10</v>
      </c>
      <c r="C34" s="11" t="n">
        <f aca="false">IF(A34="","",SUMIF(RawDataTable[Date],A34,RawDataTable[Time Spent (mins)])/60)</f>
        <v>8.21666666666667</v>
      </c>
    </row>
    <row r="35" customFormat="false" ht="15" hidden="false" customHeight="true" outlineLevel="0" collapsed="false">
      <c r="A35" s="31" t="n">
        <f aca="false">IF(MIN(RawDataTable[Date])+13&lt;=MAX(RawDataTable[Date]),MIN(RawDataTable[Date])+13,"")</f>
        <v>46187</v>
      </c>
      <c r="B35" s="11" t="n">
        <f aca="false">IF(A35="","",COUNTIF(RawDataTable[Date],A35))</f>
        <v>10</v>
      </c>
      <c r="C35" s="11" t="n">
        <f aca="false">IF(A35="","",SUMIF(RawDataTable[Date],A35,RawDataTable[Time Spent (mins)])/60)</f>
        <v>12.3</v>
      </c>
    </row>
    <row r="36" customFormat="false" ht="15" hidden="false" customHeight="true" outlineLevel="0" collapsed="false">
      <c r="A36" s="31" t="n">
        <f aca="false">IF(MIN(RawDataTable[Date])+14&lt;=MAX(RawDataTable[Date]),MIN(RawDataTable[Date])+14,"")</f>
        <v>46188</v>
      </c>
      <c r="B36" s="11" t="n">
        <f aca="false">IF(A36="","",COUNTIF(RawDataTable[Date],A36))</f>
        <v>10</v>
      </c>
      <c r="C36" s="11" t="n">
        <f aca="false">IF(A36="","",SUMIF(RawDataTable[Date],A36,RawDataTable[Time Spent (mins)])/60)</f>
        <v>12.65</v>
      </c>
    </row>
    <row r="37" customFormat="false" ht="15" hidden="false" customHeight="true" outlineLevel="0" collapsed="false">
      <c r="A37" s="31" t="n">
        <f aca="false">IF(MIN(RawDataTable[Date])+15&lt;=MAX(RawDataTable[Date]),MIN(RawDataTable[Date])+15,"")</f>
        <v>46189</v>
      </c>
      <c r="B37" s="11" t="n">
        <f aca="false">IF(A37="","",COUNTIF(RawDataTable[Date],A37))</f>
        <v>10</v>
      </c>
      <c r="C37" s="11" t="n">
        <f aca="false">IF(A37="","",SUMIF(RawDataTable[Date],A37,RawDataTable[Time Spent (mins)])/60)</f>
        <v>10.6333333333333</v>
      </c>
    </row>
    <row r="38" customFormat="false" ht="15" hidden="false" customHeight="true" outlineLevel="0" collapsed="false">
      <c r="A38" s="31" t="n">
        <f aca="false">IF(MIN(RawDataTable[Date])+16&lt;=MAX(RawDataTable[Date]),MIN(RawDataTable[Date])+16,"")</f>
        <v>46190</v>
      </c>
      <c r="B38" s="11" t="n">
        <f aca="false">IF(A38="","",COUNTIF(RawDataTable[Date],A38))</f>
        <v>10</v>
      </c>
      <c r="C38" s="11" t="n">
        <f aca="false">IF(A38="","",SUMIF(RawDataTable[Date],A38,RawDataTable[Time Spent (mins)])/60)</f>
        <v>12.0333333333333</v>
      </c>
    </row>
    <row r="39" customFormat="false" ht="15" hidden="false" customHeight="true" outlineLevel="0" collapsed="false">
      <c r="A39" s="31" t="n">
        <f aca="false">IF(MIN(RawDataTable[Date])+17&lt;=MAX(RawDataTable[Date]),MIN(RawDataTable[Date])+17,"")</f>
        <v>46191</v>
      </c>
      <c r="B39" s="11" t="n">
        <f aca="false">IF(A39="","",COUNTIF(RawDataTable[Date],A39))</f>
        <v>10</v>
      </c>
      <c r="C39" s="11" t="n">
        <f aca="false">IF(A39="","",SUMIF(RawDataTable[Date],A39,RawDataTable[Time Spent (mins)])/60)</f>
        <v>9.73333333333333</v>
      </c>
    </row>
    <row r="40" customFormat="false" ht="15" hidden="false" customHeight="true" outlineLevel="0" collapsed="false">
      <c r="A40" s="32" t="s">
        <v>95</v>
      </c>
      <c r="B40" s="11" t="n">
        <f aca="false">IF(A40="","",COUNTIF(RawDataTable[Date],A40))</f>
        <v>0</v>
      </c>
      <c r="C40" s="11" t="n">
        <f aca="false">IF(A40="","",SUMIF(RawDataTable[Date],A40,RawDataTable[Time Spent (mins)])/60)</f>
        <v>0</v>
      </c>
    </row>
    <row r="41" customFormat="false" ht="15" hidden="false" customHeight="true" outlineLevel="0" collapsed="false">
      <c r="A41" s="31" t="s">
        <v>3</v>
      </c>
      <c r="B41" s="11" t="n">
        <f aca="false">COUNTA(RawDataTable[UniqueKey])</f>
        <v>300</v>
      </c>
      <c r="C41" s="11" t="n">
        <f aca="false">IF(A41="","",SUMIF(RawDataTable[Date],A41,RawDataTable[Time Spent (mins)])/60)</f>
        <v>0</v>
      </c>
    </row>
    <row r="42" customFormat="false" ht="15" hidden="false" customHeight="true" outlineLevel="0" collapsed="false">
      <c r="A42" s="31" t="s">
        <v>4</v>
      </c>
      <c r="B42" s="11" t="n">
        <f aca="false">COUNTIF(RawDataTable[Status],"Completed")</f>
        <v>300</v>
      </c>
      <c r="C42" s="11" t="n">
        <f aca="false">IF(A42="","",SUMIF(RawDataTable[Date],A42,RawDataTable[Time Spent (mins)])/60)</f>
        <v>0</v>
      </c>
    </row>
    <row r="43" customFormat="false" ht="15" hidden="false" customHeight="true" outlineLevel="0" collapsed="false">
      <c r="A43" s="31" t="s">
        <v>5</v>
      </c>
      <c r="B43" s="11" t="n">
        <f aca="false">COUNTIF(RawDataTable[Status],"Pending")</f>
        <v>0</v>
      </c>
      <c r="C43" s="11" t="n">
        <f aca="false">IF(A43="","",SUMIF(RawDataTable[Date],A43,RawDataTable[Time Spent (mins)])/60)</f>
        <v>0</v>
      </c>
    </row>
    <row r="44" customFormat="false" ht="15" hidden="false" customHeight="true" outlineLevel="0" collapsed="false">
      <c r="A44" s="31" t="s">
        <v>96</v>
      </c>
      <c r="B44" s="11" t="n">
        <f aca="false">COUNTIFS(RawDataTable[Status],"Cancelled")+COUNTIFS(RawDataTable[Status],"Failed")</f>
        <v>0</v>
      </c>
      <c r="C44" s="11" t="n">
        <f aca="false">IF(A44="","",SUMIF(RawDataTable[Date],A44,RawDataTable[Time Spent (mins)])/60)</f>
        <v>0</v>
      </c>
    </row>
    <row r="45" customFormat="false" ht="15" hidden="false" customHeight="true" outlineLevel="0" collapsed="false">
      <c r="A45" s="31" t="s">
        <v>6</v>
      </c>
      <c r="B45" s="11" t="n">
        <f aca="false">COUNTA(Calculations!$A$3:$A$7)</f>
        <v>5</v>
      </c>
      <c r="C45" s="11" t="n">
        <f aca="false">IF(A45="","",SUMIF(RawDataTable[Date],A45,RawDataTable[Time Spent (mins)])/60)</f>
        <v>0</v>
      </c>
    </row>
    <row r="46" customFormat="false" ht="15" hidden="false" customHeight="true" outlineLevel="0" collapsed="false">
      <c r="A46" s="31" t="s">
        <v>7</v>
      </c>
      <c r="B46" s="11" t="n">
        <f aca="false">SUMPRODUCT(1/COUNTIF(RawDataTable[Date],RawDataTable[Date]))</f>
        <v>30</v>
      </c>
      <c r="C46" s="11" t="n">
        <f aca="false">IF(A46="","",SUMIF(RawDataTable[Date],A46,RawDataTable[Time Spent (mins)])/60)</f>
        <v>0</v>
      </c>
    </row>
    <row r="47" customFormat="false" ht="15" hidden="false" customHeight="true" outlineLevel="0" collapsed="false">
      <c r="A47" s="31" t="s">
        <v>97</v>
      </c>
      <c r="B47" s="11" t="n">
        <f aca="false">SUM(RawDataTable[Time Spent (mins)])/60</f>
        <v>344.4</v>
      </c>
      <c r="C47" s="11" t="n">
        <f aca="false">IF(A47="","",SUMIF(RawDataTable[Date],A47,RawDataTable[Time Spent (mins)])/60)</f>
        <v>0</v>
      </c>
    </row>
    <row r="48" customFormat="false" ht="15" hidden="false" customHeight="true" outlineLevel="0" collapsed="false">
      <c r="A48" s="31" t="s">
        <v>98</v>
      </c>
      <c r="B48" s="11" t="n">
        <f aca="false">AVERAGE(RawDataTable[Time Spent (mins)])</f>
        <v>68.88</v>
      </c>
      <c r="C48" s="11" t="n">
        <f aca="false">IF(A48="","",SUMIF(RawDataTable[Date],A48,RawDataTable[Time Spent (mins)])/60)</f>
        <v>0</v>
      </c>
    </row>
    <row r="49" customFormat="false" ht="15" hidden="false" customHeight="true" outlineLevel="0" collapsed="false">
      <c r="A49" s="31" t="s">
        <v>99</v>
      </c>
      <c r="B49" s="11" t="n">
        <f aca="false">B41/B46</f>
        <v>10</v>
      </c>
      <c r="C49" s="11" t="n">
        <f aca="false">IF(A49="","",SUMIF(RawDataTable[Date],A49,RawDataTable[Time Spent (mins)])/60)</f>
        <v>0</v>
      </c>
    </row>
    <row r="50" customFormat="false" ht="15" hidden="false" customHeight="true" outlineLevel="0" collapsed="false">
      <c r="A50" s="31" t="s">
        <v>100</v>
      </c>
      <c r="B50" s="11" t="n">
        <f aca="false">B41/B45</f>
        <v>60</v>
      </c>
      <c r="C50" s="11" t="n">
        <f aca="false">IF(A50="","",SUMIF(RawDataTable[Date],A50,RawDataTable[Time Spent (mins)])/60)</f>
        <v>0</v>
      </c>
    </row>
    <row r="51" customFormat="false" ht="15" hidden="false" customHeight="true" outlineLevel="0" collapsed="false">
      <c r="A51" s="31" t="s">
        <v>12</v>
      </c>
      <c r="B51" s="11" t="n">
        <f aca="false">COUNTA(Calculations!$A$12:$A$16)</f>
        <v>5</v>
      </c>
      <c r="C51" s="11" t="n">
        <f aca="false">IF(A51="","",SUMIF(RawDataTable[Date],A51,RawDataTable[Time Spent (mins)])/60)</f>
        <v>0</v>
      </c>
    </row>
    <row r="52" customFormat="false" ht="15" hidden="false" customHeight="true" outlineLevel="0" collapsed="false">
      <c r="A52" s="31" t="str">
        <f aca="false">IF(MIN(RawDataTable[Date])+30&lt;=MAX(RawDataTable[Date]),MIN(RawDataTable[Date])+30,"")</f>
        <v/>
      </c>
      <c r="B52" s="11" t="str">
        <f aca="false">IF(A52="","",COUNTIF(RawDataTable[Date],A52))</f>
        <v/>
      </c>
      <c r="C52" s="11" t="str">
        <f aca="false">IF(A52="","",SUMIF(RawDataTable[Date],A52,RawDataTable[Time Spent (mins)])/60)</f>
        <v/>
      </c>
    </row>
    <row r="55" customFormat="false" ht="15" hidden="false" customHeight="true" outlineLevel="0" collapsed="false">
      <c r="A55" s="29" t="s">
        <v>101</v>
      </c>
      <c r="D55" s="29" t="s">
        <v>38</v>
      </c>
      <c r="G55" s="29" t="s">
        <v>39</v>
      </c>
      <c r="J55" s="29" t="s">
        <v>102</v>
      </c>
    </row>
    <row r="56" customFormat="false" ht="15" hidden="false" customHeight="true" outlineLevel="0" collapsed="false">
      <c r="A56" s="1" t="s">
        <v>103</v>
      </c>
      <c r="B56" s="33" t="str">
        <f aca="false">Dashboard!B5</f>
        <v>Arun</v>
      </c>
      <c r="D56" s="30" t="s">
        <v>23</v>
      </c>
      <c r="E56" s="30" t="s">
        <v>88</v>
      </c>
      <c r="G56" s="30" t="s">
        <v>24</v>
      </c>
      <c r="H56" s="30" t="s">
        <v>88</v>
      </c>
      <c r="J56" s="30" t="s">
        <v>41</v>
      </c>
      <c r="K56" s="30" t="s">
        <v>88</v>
      </c>
    </row>
    <row r="57" customFormat="false" ht="15" hidden="false" customHeight="true" outlineLevel="0" collapsed="false">
      <c r="A57" s="1" t="s">
        <v>3</v>
      </c>
      <c r="B57" s="1" t="n">
        <f aca="false">COUNTIF(RawDataTable[Employee],$B$56)</f>
        <v>60</v>
      </c>
      <c r="D57" s="1" t="str">
        <f aca="false">INDEX(Calculations!$A$12:$A$16,1)</f>
        <v>ABC Agencies</v>
      </c>
      <c r="E57" s="1" t="n">
        <f aca="false">COUNTIFS(RawDataTable[Employee],$B$56,RawDataTable[Outlet Name],D57)</f>
        <v>15</v>
      </c>
      <c r="G57" s="1" t="str">
        <f aca="false">INDEX(Calculations!$C$3:$C$6,1)</f>
        <v>Distributor</v>
      </c>
      <c r="H57" s="1" t="n">
        <f aca="false">COUNTIFS(RawDataTable[Employee],$B$56,RawDataTable[Account Type],G57)</f>
        <v>18</v>
      </c>
      <c r="J57" s="34" t="n">
        <f aca="false">IF(PivotData!A22="","",PivotData!A22)</f>
        <v>46174</v>
      </c>
      <c r="K57" s="1" t="n">
        <f aca="false">IF(J57="","",COUNTIFS(RawDataTable[Employee],$B$56,RawDataTable[Date],J57))</f>
        <v>3</v>
      </c>
    </row>
    <row r="58" customFormat="false" ht="15" hidden="false" customHeight="true" outlineLevel="0" collapsed="false">
      <c r="A58" s="1" t="s">
        <v>16</v>
      </c>
      <c r="B58" s="1" t="n">
        <f aca="false">SUMPRODUCT((RawDataTable[Employee]=$B$56)/COUNTIFS(RawDataTable[Employee],RawDataTable[Employee],RawDataTable[Date],RawDataTable[Date]))</f>
        <v>28</v>
      </c>
      <c r="D58" s="1" t="str">
        <f aca="false">INDEX(Calculations!$A$12:$A$16,2)</f>
        <v>Elite Dealers</v>
      </c>
      <c r="E58" s="1" t="n">
        <f aca="false">COUNTIFS(RawDataTable[Employee],$B$56,RawDataTable[Outlet Name],D58)</f>
        <v>10</v>
      </c>
      <c r="G58" s="1" t="str">
        <f aca="false">INDEX(Calculations!$C$3:$C$6,2)</f>
        <v>OEM</v>
      </c>
      <c r="H58" s="1" t="n">
        <f aca="false">COUNTIFS(RawDataTable[Employee],$B$56,RawDataTable[Account Type],G58)</f>
        <v>13</v>
      </c>
      <c r="J58" s="34" t="n">
        <f aca="false">IF(PivotData!A23="","",PivotData!A23)</f>
        <v>46175</v>
      </c>
      <c r="K58" s="1" t="n">
        <f aca="false">IF(J58="","",COUNTIFS(RawDataTable[Employee],$B$56,RawDataTable[Date],J58))</f>
        <v>1</v>
      </c>
    </row>
    <row r="59" customFormat="false" ht="15" hidden="false" customHeight="true" outlineLevel="0" collapsed="false">
      <c r="A59" s="1" t="s">
        <v>35</v>
      </c>
      <c r="B59" s="35" t="n">
        <f aca="false">SUMIF(RawDataTable[Employee],$B$56,RawDataTable[Time Spent (mins)])/60</f>
        <v>72.8833333333333</v>
      </c>
      <c r="D59" s="1" t="str">
        <f aca="false">INDEX(Calculations!$A$12:$A$16,3)</f>
        <v>Metro Site</v>
      </c>
      <c r="E59" s="1" t="n">
        <f aca="false">COUNTIFS(RawDataTable[Employee],$B$56,RawDataTable[Outlet Name],D59)</f>
        <v>10</v>
      </c>
      <c r="G59" s="1" t="str">
        <f aca="false">INDEX(Calculations!$C$3:$C$6,3)</f>
        <v>Dealer</v>
      </c>
      <c r="H59" s="1" t="n">
        <f aca="false">COUNTIFS(RawDataTable[Employee],$B$56,RawDataTable[Account Type],G59)</f>
        <v>18</v>
      </c>
      <c r="J59" s="34" t="n">
        <f aca="false">IF(PivotData!A24="","",PivotData!A24)</f>
        <v>46176</v>
      </c>
      <c r="K59" s="1" t="n">
        <f aca="false">IF(J59="","",COUNTIFS(RawDataTable[Employee],$B$56,RawDataTable[Date],J59))</f>
        <v>2</v>
      </c>
    </row>
    <row r="60" customFormat="false" ht="15" hidden="false" customHeight="true" outlineLevel="0" collapsed="false">
      <c r="A60" s="1" t="s">
        <v>40</v>
      </c>
      <c r="B60" s="1" t="n">
        <f aca="false">SUMPRODUCT((COUNTIFS(RawDataTable[Employee],$B$56,RawDataTable[Outlet Name],Calculations!$A$12:$A$16)&gt;0)*1)</f>
        <v>5</v>
      </c>
      <c r="D60" s="1" t="str">
        <f aca="false">INDEX(Calculations!$A$12:$A$16,4)</f>
        <v>Prime Traders</v>
      </c>
      <c r="E60" s="1" t="n">
        <f aca="false">COUNTIFS(RawDataTable[Employee],$B$56,RawDataTable[Outlet Name],D60)</f>
        <v>14</v>
      </c>
      <c r="G60" s="1" t="str">
        <f aca="false">INDEX(Calculations!$C$3:$C$6,4)</f>
        <v>Project Site</v>
      </c>
      <c r="H60" s="1" t="n">
        <f aca="false">COUNTIFS(RawDataTable[Employee],$B$56,RawDataTable[Account Type],G60)</f>
        <v>11</v>
      </c>
      <c r="J60" s="34" t="n">
        <f aca="false">IF(PivotData!A25="","",PivotData!A25)</f>
        <v>46177</v>
      </c>
      <c r="K60" s="1" t="n">
        <f aca="false">IF(J60="","",COUNTIFS(RawDataTable[Employee],$B$56,RawDataTable[Date],J60))</f>
        <v>2</v>
      </c>
    </row>
    <row r="61" customFormat="false" ht="15" hidden="false" customHeight="true" outlineLevel="0" collapsed="false">
      <c r="A61" s="1" t="s">
        <v>20</v>
      </c>
      <c r="B61" s="36" t="n">
        <f aca="false">IFERROR(COUNTIFS(RawDataTable[Employee],$B$56,RawDataTable[Status],"Completed")/B58,0)</f>
        <v>2.14285714285714</v>
      </c>
      <c r="D61" s="1" t="str">
        <f aca="false">INDEX(Calculations!$A$12:$A$16,5)</f>
        <v>XYZ Motors</v>
      </c>
      <c r="E61" s="1" t="n">
        <f aca="false">COUNTIFS(RawDataTable[Employee],$B$56,RawDataTable[Outlet Name],D61)</f>
        <v>11</v>
      </c>
      <c r="J61" s="34" t="n">
        <f aca="false">IF(PivotData!A26="","",PivotData!A26)</f>
        <v>46178</v>
      </c>
      <c r="K61" s="1" t="n">
        <f aca="false">IF(J61="","",COUNTIFS(RawDataTable[Employee],$B$56,RawDataTable[Date],J61))</f>
        <v>1</v>
      </c>
    </row>
    <row r="62" customFormat="false" ht="15" hidden="false" customHeight="true" outlineLevel="0" collapsed="false">
      <c r="J62" s="34" t="n">
        <f aca="false">IF(PivotData!A27="","",PivotData!A27)</f>
        <v>46179</v>
      </c>
      <c r="K62" s="1" t="n">
        <f aca="false">IF(J62="","",COUNTIFS(RawDataTable[Employee],$B$56,RawDataTable[Date],J62))</f>
        <v>1</v>
      </c>
    </row>
    <row r="63" customFormat="false" ht="15" hidden="false" customHeight="true" outlineLevel="0" collapsed="false">
      <c r="J63" s="34" t="n">
        <f aca="false">IF(PivotData!A28="","",PivotData!A28)</f>
        <v>46180</v>
      </c>
      <c r="K63" s="1" t="n">
        <f aca="false">IF(J63="","",COUNTIFS(RawDataTable[Employee],$B$56,RawDataTable[Date],J63))</f>
        <v>2</v>
      </c>
    </row>
    <row r="64" customFormat="false" ht="15" hidden="false" customHeight="true" outlineLevel="0" collapsed="false">
      <c r="J64" s="34" t="n">
        <f aca="false">IF(PivotData!A29="","",PivotData!A29)</f>
        <v>46181</v>
      </c>
      <c r="K64" s="1" t="n">
        <f aca="false">IF(J64="","",COUNTIFS(RawDataTable[Employee],$B$56,RawDataTable[Date],J64))</f>
        <v>3</v>
      </c>
    </row>
    <row r="65" customFormat="false" ht="15" hidden="false" customHeight="true" outlineLevel="0" collapsed="false">
      <c r="J65" s="34" t="n">
        <f aca="false">IF(PivotData!A30="","",PivotData!A30)</f>
        <v>46182</v>
      </c>
      <c r="K65" s="1" t="n">
        <f aca="false">IF(J65="","",COUNTIFS(RawDataTable[Employee],$B$56,RawDataTable[Date],J65))</f>
        <v>0</v>
      </c>
    </row>
    <row r="66" customFormat="false" ht="15" hidden="false" customHeight="true" outlineLevel="0" collapsed="false">
      <c r="J66" s="34" t="n">
        <f aca="false">IF(PivotData!A31="","",PivotData!A31)</f>
        <v>46183</v>
      </c>
      <c r="K66" s="1" t="n">
        <f aca="false">IF(J66="","",COUNTIFS(RawDataTable[Employee],$B$56,RawDataTable[Date],J66))</f>
        <v>3</v>
      </c>
    </row>
    <row r="67" customFormat="false" ht="15" hidden="false" customHeight="true" outlineLevel="0" collapsed="false">
      <c r="J67" s="34" t="n">
        <f aca="false">IF(PivotData!A32="","",PivotData!A32)</f>
        <v>46184</v>
      </c>
      <c r="K67" s="1" t="n">
        <f aca="false">IF(J67="","",COUNTIFS(RawDataTable[Employee],$B$56,RawDataTable[Date],J67))</f>
        <v>3</v>
      </c>
    </row>
    <row r="68" customFormat="false" ht="15" hidden="false" customHeight="true" outlineLevel="0" collapsed="false">
      <c r="J68" s="34" t="n">
        <f aca="false">IF(PivotData!A33="","",PivotData!A33)</f>
        <v>46185</v>
      </c>
      <c r="K68" s="1" t="n">
        <f aca="false">IF(J68="","",COUNTIFS(RawDataTable[Employee],$B$56,RawDataTable[Date],J68))</f>
        <v>3</v>
      </c>
    </row>
    <row r="69" customFormat="false" ht="15" hidden="false" customHeight="true" outlineLevel="0" collapsed="false">
      <c r="J69" s="34" t="n">
        <f aca="false">IF(PivotData!A34="","",PivotData!A34)</f>
        <v>46186</v>
      </c>
      <c r="K69" s="1" t="n">
        <f aca="false">IF(J69="","",COUNTIFS(RawDataTable[Employee],$B$56,RawDataTable[Date],J69))</f>
        <v>2</v>
      </c>
    </row>
    <row r="70" customFormat="false" ht="15" hidden="false" customHeight="true" outlineLevel="0" collapsed="false">
      <c r="J70" s="34" t="n">
        <f aca="false">IF(PivotData!A35="","",PivotData!A35)</f>
        <v>46187</v>
      </c>
      <c r="K70" s="1" t="n">
        <f aca="false">IF(J70="","",COUNTIFS(RawDataTable[Employee],$B$56,RawDataTable[Date],J70))</f>
        <v>1</v>
      </c>
    </row>
    <row r="71" customFormat="false" ht="15" hidden="false" customHeight="true" outlineLevel="0" collapsed="false">
      <c r="J71" s="34" t="n">
        <f aca="false">IF(PivotData!A36="","",PivotData!A36)</f>
        <v>46188</v>
      </c>
      <c r="K71" s="1" t="n">
        <f aca="false">IF(J71="","",COUNTIFS(RawDataTable[Employee],$B$56,RawDataTable[Date],J71))</f>
        <v>4</v>
      </c>
    </row>
    <row r="72" customFormat="false" ht="15" hidden="false" customHeight="true" outlineLevel="0" collapsed="false">
      <c r="J72" s="34" t="n">
        <f aca="false">IF(PivotData!A37="","",PivotData!A37)</f>
        <v>46189</v>
      </c>
      <c r="K72" s="1" t="n">
        <f aca="false">IF(J72="","",COUNTIFS(RawDataTable[Employee],$B$56,RawDataTable[Date],J72))</f>
        <v>2</v>
      </c>
    </row>
    <row r="73" customFormat="false" ht="15" hidden="false" customHeight="true" outlineLevel="0" collapsed="false">
      <c r="J73" s="34" t="n">
        <f aca="false">IF(PivotData!A38="","",PivotData!A38)</f>
        <v>46190</v>
      </c>
      <c r="K73" s="1" t="n">
        <f aca="false">IF(J73="","",COUNTIFS(RawDataTable[Employee],$B$56,RawDataTable[Date],J73))</f>
        <v>2</v>
      </c>
    </row>
    <row r="74" customFormat="false" ht="15" hidden="false" customHeight="true" outlineLevel="0" collapsed="false">
      <c r="J74" s="34" t="n">
        <f aca="false">IF(PivotData!A39="","",PivotData!A39)</f>
        <v>46191</v>
      </c>
      <c r="K74" s="1" t="n">
        <f aca="false">IF(J74="","",COUNTIFS(RawDataTable[Employee],$B$56,RawDataTable[Date],J74))</f>
        <v>2</v>
      </c>
    </row>
    <row r="75" customFormat="false" ht="15" hidden="false" customHeight="true" outlineLevel="0" collapsed="false">
      <c r="J75" s="34" t="str">
        <f aca="false">IF(PivotData!A40="","",PivotData!A40)</f>
        <v>Global KPI Values</v>
      </c>
      <c r="K75" s="1" t="n">
        <f aca="false">IF(J75="","",COUNTIFS(RawDataTable[Employee],$B$56,RawDataTable[Date],J75))</f>
        <v>0</v>
      </c>
    </row>
    <row r="76" customFormat="false" ht="15" hidden="false" customHeight="true" outlineLevel="0" collapsed="false">
      <c r="J76" s="34" t="str">
        <f aca="false">IF(PivotData!A41="","",PivotData!A41)</f>
        <v>Total Visits</v>
      </c>
      <c r="K76" s="1" t="n">
        <f aca="false">IF(J76="","",COUNTIFS(RawDataTable[Employee],$B$56,RawDataTable[Date],J76))</f>
        <v>0</v>
      </c>
    </row>
    <row r="77" customFormat="false" ht="15" hidden="false" customHeight="true" outlineLevel="0" collapsed="false">
      <c r="J77" s="34" t="str">
        <f aca="false">IF(PivotData!A42="","",PivotData!A42)</f>
        <v>Successful Visits</v>
      </c>
      <c r="K77" s="1" t="n">
        <f aca="false">IF(J77="","",COUNTIFS(RawDataTable[Employee],$B$56,RawDataTable[Date],J77))</f>
        <v>0</v>
      </c>
    </row>
    <row r="78" customFormat="false" ht="15" hidden="false" customHeight="true" outlineLevel="0" collapsed="false">
      <c r="J78" s="34" t="str">
        <f aca="false">IF(PivotData!A43="","",PivotData!A43)</f>
        <v>Pending Visits</v>
      </c>
      <c r="K78" s="1" t="n">
        <f aca="false">IF(J78="","",COUNTIFS(RawDataTable[Employee],$B$56,RawDataTable[Date],J78))</f>
        <v>0</v>
      </c>
    </row>
    <row r="79" customFormat="false" ht="15" hidden="false" customHeight="true" outlineLevel="0" collapsed="false">
      <c r="J79" s="34" t="str">
        <f aca="false">IF(PivotData!A44="","",PivotData!A44)</f>
        <v>Cancelled Visits</v>
      </c>
      <c r="K79" s="1" t="n">
        <f aca="false">IF(J79="","",COUNTIFS(RawDataTable[Employee],$B$56,RawDataTable[Date],J79))</f>
        <v>0</v>
      </c>
    </row>
    <row r="80" customFormat="false" ht="15" hidden="false" customHeight="true" outlineLevel="0" collapsed="false">
      <c r="J80" s="34" t="str">
        <f aca="false">IF(PivotData!A45="","",PivotData!A45)</f>
        <v>Total Employees</v>
      </c>
      <c r="K80" s="1" t="n">
        <f aca="false">IF(J80="","",COUNTIFS(RawDataTable[Employee],$B$56,RawDataTable[Date],J80))</f>
        <v>0</v>
      </c>
    </row>
    <row r="81" customFormat="false" ht="15" hidden="false" customHeight="true" outlineLevel="0" collapsed="false">
      <c r="J81" s="34" t="str">
        <f aca="false">IF(PivotData!A46="","",PivotData!A46)</f>
        <v>Total Working Days</v>
      </c>
      <c r="K81" s="1" t="n">
        <f aca="false">IF(J81="","",COUNTIFS(RawDataTable[Employee],$B$56,RawDataTable[Date],J81))</f>
        <v>0</v>
      </c>
    </row>
    <row r="82" customFormat="false" ht="15" hidden="false" customHeight="true" outlineLevel="0" collapsed="false">
      <c r="J82" s="34" t="str">
        <f aca="false">IF(PivotData!A47="","",PivotData!A47)</f>
        <v>Total Time Spent (Hours)</v>
      </c>
      <c r="K82" s="1" t="n">
        <f aca="false">IF(J82="","",COUNTIFS(RawDataTable[Employee],$B$56,RawDataTable[Date],J82))</f>
        <v>0</v>
      </c>
    </row>
    <row r="83" customFormat="false" ht="15" hidden="false" customHeight="true" outlineLevel="0" collapsed="false">
      <c r="J83" s="34" t="str">
        <f aca="false">IF(PivotData!A48="","",PivotData!A48)</f>
        <v>Average Time per Visit (mins)</v>
      </c>
      <c r="K83" s="1" t="n">
        <f aca="false">IF(J83="","",COUNTIFS(RawDataTable[Employee],$B$56,RawDataTable[Date],J83))</f>
        <v>0</v>
      </c>
    </row>
    <row r="84" customFormat="false" ht="15" hidden="false" customHeight="true" outlineLevel="0" collapsed="false">
      <c r="J84" s="34" t="str">
        <f aca="false">IF(PivotData!A49="","",PivotData!A49)</f>
        <v>Average Visits per Day</v>
      </c>
      <c r="K84" s="1" t="n">
        <f aca="false">IF(J84="","",COUNTIFS(RawDataTable[Employee],$B$56,RawDataTable[Date],J84))</f>
        <v>0</v>
      </c>
    </row>
    <row r="85" customFormat="false" ht="15" hidden="false" customHeight="true" outlineLevel="0" collapsed="false">
      <c r="J85" s="34" t="str">
        <f aca="false">IF(PivotData!A50="","",PivotData!A50)</f>
        <v>Average Visits per Employee</v>
      </c>
      <c r="K85" s="1" t="n">
        <f aca="false">IF(J85="","",COUNTIFS(RawDataTable[Employee],$B$56,RawDataTable[Date],J85))</f>
        <v>0</v>
      </c>
    </row>
    <row r="86" customFormat="false" ht="15" hidden="false" customHeight="true" outlineLevel="0" collapsed="false">
      <c r="J86" s="34" t="str">
        <f aca="false">IF(PivotData!A51="","",PivotData!A51)</f>
        <v>Unique Outlets Visited</v>
      </c>
      <c r="K86" s="1" t="n">
        <f aca="false">IF(J86="","",COUNTIFS(RawDataTable[Employee],$B$56,RawDataTable[Date],J86))</f>
        <v>0</v>
      </c>
    </row>
    <row r="87" customFormat="false" ht="15" hidden="false" customHeight="true" outlineLevel="0" collapsed="false">
      <c r="J87" s="34" t="str">
        <f aca="false">IF(PivotData!A52="","",PivotData!A52)</f>
        <v/>
      </c>
      <c r="K87" s="1" t="str">
        <f aca="false">IF(J87="","",COUNTIFS(RawDataTable[Employee],$B$56,RawDataTable[Date],J87))</f>
        <v/>
      </c>
    </row>
  </sheetData>
  <conditionalFormatting sqref="I3:I7">
    <cfRule type="iconSet" priority="2">
      <iconSet iconSet="3TrafficLights1">
        <cfvo type="percent" val="0"/>
        <cfvo type="percent" val="33"/>
        <cfvo type="percent" val="67"/>
      </iconSet>
    </cfRule>
  </conditionalFormatting>
  <conditionalFormatting sqref="E3:E7">
    <cfRule type="dataBar" priority="3">
      <dataBar showValue="1" minLength="10" maxLength="90">
        <cfvo type="min" val="0"/>
        <cfvo type="max" val="0"/>
        <color rgb="FF2E74B5"/>
      </dataBar>
      <extLst>
        <ext xmlns:x14="http://schemas.microsoft.com/office/spreadsheetml/2009/9/main" uri="{B025F937-C7B1-47D3-B67F-A62EFF666E3E}">
          <x14:id>{31F09411-49DB-41AC-911B-6F37646EEA4A}</x14:id>
        </ext>
      </extLst>
    </cfRule>
  </conditionalFormatting>
  <conditionalFormatting sqref="D12:D16">
    <cfRule type="dataBar" priority="4">
      <dataBar showValue="1" minLength="10" maxLength="90">
        <cfvo type="min" val="0"/>
        <cfvo type="max" val="0"/>
        <color rgb="FF2E74B5"/>
      </dataBar>
      <extLst>
        <ext xmlns:x14="http://schemas.microsoft.com/office/spreadsheetml/2009/9/main" uri="{B025F937-C7B1-47D3-B67F-A62EFF666E3E}">
          <x14:id>{66145573-1A64-40EE-B84C-3FC0FF5E615C}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F09411-49DB-41AC-911B-6F37646EEA4A}">
            <x14:dataBar minLength="10" maxLength="90" axisPosition="none" gradient="true">
              <x14:cfvo type="min"/>
              <x14:cfvo type="max"/>
              <x14:negativeFillColor rgb="FF2E74B5"/>
              <x14:axisColor rgb="FF000000"/>
            </x14:dataBar>
          </x14:cfRule>
          <xm:sqref>E3:E7</xm:sqref>
        </x14:conditionalFormatting>
        <x14:conditionalFormatting xmlns:xm="http://schemas.microsoft.com/office/excel/2006/main">
          <x14:cfRule type="dataBar" id="{66145573-1A64-40EE-B84C-3FC0FF5E615C}">
            <x14:dataBar minLength="10" maxLength="90" axisPosition="none" gradient="true">
              <x14:cfvo type="min"/>
              <x14:cfvo type="max"/>
              <x14:negativeFillColor rgb="FF2E74B5"/>
              <x14:axisColor rgb="FF000000"/>
            </x14:dataBar>
          </x14:cfRule>
          <xm:sqref>D12:D16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2026-06-27T00:52:07Z</dcterms:created>
  <dc:creator>openpyxl</dc:creator>
  <dc:description/>
  <dc:language>en-US</dc:language>
  <cp:lastModifiedBy/>
  <dcterms:modified xsi:type="dcterms:W3CDTF">2026-06-28T01:35:45Z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